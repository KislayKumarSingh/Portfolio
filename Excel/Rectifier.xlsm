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Others\"/>
    </mc:Choice>
  </mc:AlternateContent>
  <xr:revisionPtr revIDLastSave="0" documentId="13_ncr:1_{92CAECEE-B4A2-4218-9083-433976940EF4}" xr6:coauthVersionLast="47" xr6:coauthVersionMax="47" xr10:uidLastSave="{00000000-0000-0000-0000-000000000000}"/>
  <bookViews>
    <workbookView xWindow="-120" yWindow="-120" windowWidth="19440" windowHeight="10590" tabRatio="448" xr2:uid="{00000000-000D-0000-FFFF-FFFF00000000}"/>
  </bookViews>
  <sheets>
    <sheet name="Accounts" sheetId="6" r:id="rId1"/>
    <sheet name="User Orgs &amp; Country Codes" sheetId="7" r:id="rId2"/>
    <sheet name="Rectifier Sheet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42" i="7" l="1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</calcChain>
</file>

<file path=xl/sharedStrings.xml><?xml version="1.0" encoding="utf-8"?>
<sst xmlns="http://schemas.openxmlformats.org/spreadsheetml/2006/main" count="1891" uniqueCount="723">
  <si>
    <t>Industries</t>
  </si>
  <si>
    <t>URL</t>
  </si>
  <si>
    <t>United States</t>
  </si>
  <si>
    <t>Currency</t>
  </si>
  <si>
    <t>Account Type</t>
  </si>
  <si>
    <t>USD</t>
  </si>
  <si>
    <t>84 - United States</t>
  </si>
  <si>
    <t>Competitor</t>
  </si>
  <si>
    <t>Partner</t>
  </si>
  <si>
    <t>Account Local Language Name</t>
  </si>
  <si>
    <t>Local Address</t>
  </si>
  <si>
    <t>Local City</t>
  </si>
  <si>
    <t>Brazil</t>
  </si>
  <si>
    <t>BRL</t>
  </si>
  <si>
    <t>BRAZIL PRICE LIST</t>
  </si>
  <si>
    <t>Guatemala</t>
  </si>
  <si>
    <t>INT OTHER PRICE LIST</t>
  </si>
  <si>
    <t>US PRICE LIST</t>
  </si>
  <si>
    <t>Sweden</t>
  </si>
  <si>
    <t>SEK</t>
  </si>
  <si>
    <t>SWEDEN PRICE LIST</t>
  </si>
  <si>
    <t>161 - Ireland</t>
  </si>
  <si>
    <t>Siebel Country</t>
  </si>
  <si>
    <t>Currcy Code</t>
  </si>
  <si>
    <t>Primary Price List</t>
  </si>
  <si>
    <t>Siebel Account User Organization</t>
  </si>
  <si>
    <t>Telephone
Country Code</t>
  </si>
  <si>
    <t>NANP</t>
  </si>
  <si>
    <t>Postal Code Format</t>
  </si>
  <si>
    <t>Len</t>
  </si>
  <si>
    <t>Postal Code Comments</t>
  </si>
  <si>
    <t>Afghanistan</t>
  </si>
  <si>
    <t>null</t>
  </si>
  <si>
    <t>No Postal Code used</t>
  </si>
  <si>
    <t>Albania</t>
  </si>
  <si>
    <t>EUR</t>
  </si>
  <si>
    <t>EURO PRICE LIST</t>
  </si>
  <si>
    <t>+355</t>
  </si>
  <si>
    <t>9999 or null</t>
  </si>
  <si>
    <t>Algeria</t>
  </si>
  <si>
    <t>+213</t>
  </si>
  <si>
    <t>99999 or null</t>
  </si>
  <si>
    <t>American Samoa</t>
  </si>
  <si>
    <t>Yes</t>
  </si>
  <si>
    <t>96799</t>
  </si>
  <si>
    <t>Single code used for all addresses</t>
  </si>
  <si>
    <t>Andorra</t>
  </si>
  <si>
    <t>+376</t>
  </si>
  <si>
    <t>AD999</t>
  </si>
  <si>
    <t>Every Postal Code starts "AD"</t>
  </si>
  <si>
    <t>Angola</t>
  </si>
  <si>
    <t>+244</t>
  </si>
  <si>
    <t>Anguilla</t>
  </si>
  <si>
    <t>GBP</t>
  </si>
  <si>
    <t>UK PRICE LIST</t>
  </si>
  <si>
    <t>AI-2640</t>
  </si>
  <si>
    <t>Antarctica</t>
  </si>
  <si>
    <t>+672</t>
  </si>
  <si>
    <t>Antigua and Barbuda</t>
  </si>
  <si>
    <t>Argentina</t>
  </si>
  <si>
    <t>A9999AAA or 9999 or null</t>
  </si>
  <si>
    <t>Previous Postal Code was 4 digits</t>
  </si>
  <si>
    <t>Armenia</t>
  </si>
  <si>
    <t>+374</t>
  </si>
  <si>
    <t>Aruba</t>
  </si>
  <si>
    <t>+297</t>
  </si>
  <si>
    <t>Australia</t>
  </si>
  <si>
    <t>AUD</t>
  </si>
  <si>
    <t>AUSTRALIA PRICE LIST</t>
  </si>
  <si>
    <t>Austria</t>
  </si>
  <si>
    <t>Azerbaijan</t>
  </si>
  <si>
    <t>+994</t>
  </si>
  <si>
    <t>AZ9999 or null</t>
  </si>
  <si>
    <t>Every Postal Code starts "AZ"</t>
  </si>
  <si>
    <t>Bahamas</t>
  </si>
  <si>
    <t>Bahrain</t>
  </si>
  <si>
    <t>+973</t>
  </si>
  <si>
    <t>999 or 9999 or null</t>
  </si>
  <si>
    <t>Bangladesh</t>
  </si>
  <si>
    <t>+880</t>
  </si>
  <si>
    <t>Barbados</t>
  </si>
  <si>
    <t>BB99999 or null</t>
  </si>
  <si>
    <t>Every Postal Code starts "BB"</t>
  </si>
  <si>
    <t>Belarus</t>
  </si>
  <si>
    <t>+375</t>
  </si>
  <si>
    <t>999999 or null</t>
  </si>
  <si>
    <t>Belgium</t>
  </si>
  <si>
    <t>In general, the first digit gives the province</t>
  </si>
  <si>
    <t>Belize</t>
  </si>
  <si>
    <t>+501</t>
  </si>
  <si>
    <t>Benin</t>
  </si>
  <si>
    <t>+229</t>
  </si>
  <si>
    <t>Bermuda</t>
  </si>
  <si>
    <t>AA 99 or AA AA</t>
  </si>
  <si>
    <t>AA 99 for street addresses, AA AA for PO Box addresses.</t>
  </si>
  <si>
    <t>Bhutan</t>
  </si>
  <si>
    <t>+975</t>
  </si>
  <si>
    <t>Bolivia</t>
  </si>
  <si>
    <t>+591</t>
  </si>
  <si>
    <t>Bonaire, Sint Eustatius &amp; Saba</t>
  </si>
  <si>
    <t>+599</t>
  </si>
  <si>
    <t>Bosnia and Herzegovina</t>
  </si>
  <si>
    <t>+387</t>
  </si>
  <si>
    <t>Botswana</t>
  </si>
  <si>
    <t>+267</t>
  </si>
  <si>
    <t>462 - Brazil</t>
  </si>
  <si>
    <t>99999-999 or 99999 or null</t>
  </si>
  <si>
    <t>Previous Postal Code was 5 digits</t>
  </si>
  <si>
    <t>British Indian Ocean Territory</t>
  </si>
  <si>
    <t>+246</t>
  </si>
  <si>
    <t>BBND 1ZZ</t>
  </si>
  <si>
    <t>Brunei Darussalam</t>
  </si>
  <si>
    <t>+673</t>
  </si>
  <si>
    <t>AA9999 or null</t>
  </si>
  <si>
    <t>Bulgaria</t>
  </si>
  <si>
    <t>+359</t>
  </si>
  <si>
    <t>Burkina Faso</t>
  </si>
  <si>
    <t>+226</t>
  </si>
  <si>
    <t>Burundi</t>
  </si>
  <si>
    <t>+257</t>
  </si>
  <si>
    <t>Cambodia</t>
  </si>
  <si>
    <t>+855</t>
  </si>
  <si>
    <t>Cameroon</t>
  </si>
  <si>
    <t>+237</t>
  </si>
  <si>
    <t>Canada</t>
  </si>
  <si>
    <t>CAD</t>
  </si>
  <si>
    <t>CANADA PRICE LIST</t>
  </si>
  <si>
    <t>95 - Canada</t>
  </si>
  <si>
    <t>+1</t>
  </si>
  <si>
    <t>A9A 9A9</t>
  </si>
  <si>
    <t>Cape Verde</t>
  </si>
  <si>
    <t>+238</t>
  </si>
  <si>
    <t>Cayman Islands</t>
  </si>
  <si>
    <t>KY9-9999 or null</t>
  </si>
  <si>
    <t>Every Postal Code starts "KY"</t>
  </si>
  <si>
    <t>Central African Republic</t>
  </si>
  <si>
    <t>+236</t>
  </si>
  <si>
    <t>Chad</t>
  </si>
  <si>
    <t>+235</t>
  </si>
  <si>
    <t>Chile</t>
  </si>
  <si>
    <t>9999999 or null</t>
  </si>
  <si>
    <t>China</t>
  </si>
  <si>
    <t>CNY</t>
  </si>
  <si>
    <t>CHINESE PRICE LIST</t>
  </si>
  <si>
    <t>548 - China</t>
  </si>
  <si>
    <t>Hong Kong and Macau Special Administrative Regions remain separate from Mainland China</t>
  </si>
  <si>
    <t>Christmas Island</t>
  </si>
  <si>
    <t>Cocos (Keeling) Islands</t>
  </si>
  <si>
    <t>Colombia</t>
  </si>
  <si>
    <t>Comoros</t>
  </si>
  <si>
    <t>+269</t>
  </si>
  <si>
    <t>Congo</t>
  </si>
  <si>
    <t>+242</t>
  </si>
  <si>
    <t>Cook Islands</t>
  </si>
  <si>
    <t>NZD</t>
  </si>
  <si>
    <t>NEW ZEALAND PRICE LIST</t>
  </si>
  <si>
    <t>+682</t>
  </si>
  <si>
    <t>Costa Rica</t>
  </si>
  <si>
    <t>+506</t>
  </si>
  <si>
    <t>99999 or 9999 or null</t>
  </si>
  <si>
    <t>Previous Postal Code was 4 digits until 2007</t>
  </si>
  <si>
    <t>Cote d'Ivoire</t>
  </si>
  <si>
    <t>+225</t>
  </si>
  <si>
    <t>Croatia</t>
  </si>
  <si>
    <t>+385</t>
  </si>
  <si>
    <t>Cuba</t>
  </si>
  <si>
    <t>for bulk mail only</t>
  </si>
  <si>
    <t>Curacao</t>
  </si>
  <si>
    <t>Cyprus</t>
  </si>
  <si>
    <t>+357</t>
  </si>
  <si>
    <t>Covers whole island but not used in Northern Cyprus where 'Mersin 10, Turkey' is used</t>
  </si>
  <si>
    <t>Czech Republic</t>
  </si>
  <si>
    <t>+420</t>
  </si>
  <si>
    <t>999 99</t>
  </si>
  <si>
    <t>Democratic Republic of Congo</t>
  </si>
  <si>
    <t>+243</t>
  </si>
  <si>
    <t>Denmark</t>
  </si>
  <si>
    <t>DKK</t>
  </si>
  <si>
    <t>DENMARK PRICE LIST</t>
  </si>
  <si>
    <t>Djibouti</t>
  </si>
  <si>
    <t>+253</t>
  </si>
  <si>
    <t>Dominica</t>
  </si>
  <si>
    <t>Dominican Republic</t>
  </si>
  <si>
    <t>Ecuador</t>
  </si>
  <si>
    <t>+593</t>
  </si>
  <si>
    <t>Egypt</t>
  </si>
  <si>
    <t>El Salvador</t>
  </si>
  <si>
    <t>+503</t>
  </si>
  <si>
    <t>Equatorial Guinea</t>
  </si>
  <si>
    <t>+240</t>
  </si>
  <si>
    <t>Eritrea</t>
  </si>
  <si>
    <t>+291</t>
  </si>
  <si>
    <t>Estonia</t>
  </si>
  <si>
    <t>+372</t>
  </si>
  <si>
    <t>Ethiopia</t>
  </si>
  <si>
    <t>+251</t>
  </si>
  <si>
    <t>Falkland Islands (Malvinas)</t>
  </si>
  <si>
    <t>+500</t>
  </si>
  <si>
    <t>FIQQ 1ZZ</t>
  </si>
  <si>
    <t>Faroe Islands</t>
  </si>
  <si>
    <t>+298</t>
  </si>
  <si>
    <t>Fiji</t>
  </si>
  <si>
    <t>+679</t>
  </si>
  <si>
    <t>Finland</t>
  </si>
  <si>
    <t>+358</t>
  </si>
  <si>
    <t>France</t>
  </si>
  <si>
    <t>French Guiana</t>
  </si>
  <si>
    <t>+594</t>
  </si>
  <si>
    <t>French Polynesia</t>
  </si>
  <si>
    <t>+689</t>
  </si>
  <si>
    <t>Gabon</t>
  </si>
  <si>
    <t>+241</t>
  </si>
  <si>
    <t>Gambia</t>
  </si>
  <si>
    <t>+220</t>
  </si>
  <si>
    <t>Georgia</t>
  </si>
  <si>
    <t>+995</t>
  </si>
  <si>
    <t>Germany</t>
  </si>
  <si>
    <t>Ghana</t>
  </si>
  <si>
    <t>+233</t>
  </si>
  <si>
    <t>Gibraltar</t>
  </si>
  <si>
    <t>+350</t>
  </si>
  <si>
    <t>GX11 1AA</t>
  </si>
  <si>
    <t>Greece</t>
  </si>
  <si>
    <t>Greenland</t>
  </si>
  <si>
    <t>+299</t>
  </si>
  <si>
    <t>Grenada</t>
  </si>
  <si>
    <t>Guadeloupe</t>
  </si>
  <si>
    <t>+590</t>
  </si>
  <si>
    <t>Guam</t>
  </si>
  <si>
    <t>96999</t>
  </si>
  <si>
    <t>First 3 digits are 969: 96910, 96912, 96913, 96915, 96916, 96917, 96919, 96921, 96923, 96928, 96929, 96931, 96932</t>
  </si>
  <si>
    <t>+502</t>
  </si>
  <si>
    <t>Guernsey</t>
  </si>
  <si>
    <t>+44 1481</t>
  </si>
  <si>
    <t>GY9 9AA or GY99 9AA</t>
  </si>
  <si>
    <t>7,8</t>
  </si>
  <si>
    <t>Every Postal Code starts "GY"</t>
  </si>
  <si>
    <t>Guinea</t>
  </si>
  <si>
    <t>+224</t>
  </si>
  <si>
    <t>Guinea-Bissau</t>
  </si>
  <si>
    <t>+245</t>
  </si>
  <si>
    <t>Guyana</t>
  </si>
  <si>
    <t>+592</t>
  </si>
  <si>
    <t>Haiti</t>
  </si>
  <si>
    <t>+509</t>
  </si>
  <si>
    <t>Holy See (Vatican City State)</t>
  </si>
  <si>
    <t>+379 &amp; +39</t>
  </si>
  <si>
    <t>00120</t>
  </si>
  <si>
    <t>Honduras</t>
  </si>
  <si>
    <t>+504</t>
  </si>
  <si>
    <t>Hong Kong</t>
  </si>
  <si>
    <t>HKD</t>
  </si>
  <si>
    <t>HONG KONG PRICE LIST</t>
  </si>
  <si>
    <t>+852</t>
  </si>
  <si>
    <t>No Postal Code used, Hong Kong Special Administrative Region remains separate from Mainland China</t>
  </si>
  <si>
    <t>Hungary</t>
  </si>
  <si>
    <t>Iceland</t>
  </si>
  <si>
    <t>+354</t>
  </si>
  <si>
    <t>India</t>
  </si>
  <si>
    <t>INR</t>
  </si>
  <si>
    <t>QPC ASEAN INR RETAIL PRICING</t>
  </si>
  <si>
    <t>999 999 or 999999</t>
  </si>
  <si>
    <t>Indonesia</t>
  </si>
  <si>
    <t>Iran</t>
  </si>
  <si>
    <t>99999-99999 or null</t>
  </si>
  <si>
    <t>Iraq</t>
  </si>
  <si>
    <t>+964</t>
  </si>
  <si>
    <t>Ireland</t>
  </si>
  <si>
    <t>+353</t>
  </si>
  <si>
    <t>9 or 99 or null</t>
  </si>
  <si>
    <t>0,1,2</t>
  </si>
  <si>
    <t>No Postal Code used except for County Dublin which is divided into postal districts</t>
  </si>
  <si>
    <t>Israel</t>
  </si>
  <si>
    <t>+972</t>
  </si>
  <si>
    <t>Italy</t>
  </si>
  <si>
    <t>Jamaica</t>
  </si>
  <si>
    <t>Japan</t>
  </si>
  <si>
    <t>JPY</t>
  </si>
  <si>
    <t>JAPANESE PRICE LIST</t>
  </si>
  <si>
    <t>602 - Japan</t>
  </si>
  <si>
    <t>999-9999</t>
  </si>
  <si>
    <t>Jersey</t>
  </si>
  <si>
    <t>+44 1534</t>
  </si>
  <si>
    <t>JE9 9AA or JE99 9AA</t>
  </si>
  <si>
    <t>Every Postal Code starts "JE"</t>
  </si>
  <si>
    <t>Jordan</t>
  </si>
  <si>
    <t>+962</t>
  </si>
  <si>
    <t>PO box delivery only</t>
  </si>
  <si>
    <t>Kazakhstan</t>
  </si>
  <si>
    <t>Kenya</t>
  </si>
  <si>
    <t>+254</t>
  </si>
  <si>
    <t>Kiribati</t>
  </si>
  <si>
    <t>+686</t>
  </si>
  <si>
    <t>Korea, Democratic Peoples Rep</t>
  </si>
  <si>
    <t>+850</t>
  </si>
  <si>
    <t>Korea, Republic of</t>
  </si>
  <si>
    <t>KRW</t>
  </si>
  <si>
    <t>SOUTH KOREAN PRICE LIST</t>
  </si>
  <si>
    <t>999-999 or null</t>
  </si>
  <si>
    <t>Kuwait</t>
  </si>
  <si>
    <t>+965</t>
  </si>
  <si>
    <t>Kyrgyzstan</t>
  </si>
  <si>
    <t>+996</t>
  </si>
  <si>
    <t>Lao People's Democratic Republ</t>
  </si>
  <si>
    <t>+856</t>
  </si>
  <si>
    <t>Latvia</t>
  </si>
  <si>
    <t>+371</t>
  </si>
  <si>
    <t>Lebanon</t>
  </si>
  <si>
    <t>+961</t>
  </si>
  <si>
    <t>9999 9999 or 9999 or null</t>
  </si>
  <si>
    <t>Lesotho</t>
  </si>
  <si>
    <t>+266</t>
  </si>
  <si>
    <t>999 or null</t>
  </si>
  <si>
    <t>Liberia</t>
  </si>
  <si>
    <t>+231</t>
  </si>
  <si>
    <t>Libyan Arab Jamahiriya</t>
  </si>
  <si>
    <t>+218</t>
  </si>
  <si>
    <t>Liechtenstein</t>
  </si>
  <si>
    <t>+423</t>
  </si>
  <si>
    <t>Lithuania</t>
  </si>
  <si>
    <t>+370</t>
  </si>
  <si>
    <t>99999 or 9999</t>
  </si>
  <si>
    <t>Previous Postal Code was last 4 digits of USSR system until 2003</t>
  </si>
  <si>
    <t>Luxembourg</t>
  </si>
  <si>
    <t>+352</t>
  </si>
  <si>
    <t>Macau</t>
  </si>
  <si>
    <t>+853</t>
  </si>
  <si>
    <t>No Postal Code used, Macau Special Administrative Region remains separate from Mainland China</t>
  </si>
  <si>
    <t>Macedonia</t>
  </si>
  <si>
    <t>+389</t>
  </si>
  <si>
    <t>Madagascar</t>
  </si>
  <si>
    <t>+261</t>
  </si>
  <si>
    <t>Malawi</t>
  </si>
  <si>
    <t>+265</t>
  </si>
  <si>
    <t>Malaysia</t>
  </si>
  <si>
    <t>MYR</t>
  </si>
  <si>
    <t>MALAYSIAN PRICE LIST</t>
  </si>
  <si>
    <t>Maldives</t>
  </si>
  <si>
    <t>+960</t>
  </si>
  <si>
    <t>99-99 or null</t>
  </si>
  <si>
    <t>Mali</t>
  </si>
  <si>
    <t>+223</t>
  </si>
  <si>
    <t>Malta</t>
  </si>
  <si>
    <t>+356</t>
  </si>
  <si>
    <t>AAA 9999</t>
  </si>
  <si>
    <t>Marshall Islands</t>
  </si>
  <si>
    <t>+692</t>
  </si>
  <si>
    <t>96960, 96970</t>
  </si>
  <si>
    <t>First 3 digits are 969</t>
  </si>
  <si>
    <t>Martinique</t>
  </si>
  <si>
    <t>+596</t>
  </si>
  <si>
    <t>Mauritania</t>
  </si>
  <si>
    <t>+222</t>
  </si>
  <si>
    <t>Mauritius</t>
  </si>
  <si>
    <t>+230</t>
  </si>
  <si>
    <t>Mayotte</t>
  </si>
  <si>
    <t>Mexico</t>
  </si>
  <si>
    <t>MXN</t>
  </si>
  <si>
    <t>MEXICAN PESO PRICE LIST</t>
  </si>
  <si>
    <t>1024 - Mexico</t>
  </si>
  <si>
    <t>Micronesia,Federated States of</t>
  </si>
  <si>
    <t>+691</t>
  </si>
  <si>
    <t>96941, 96942, 96943, 96944</t>
  </si>
  <si>
    <t>First 4 digits are 9694</t>
  </si>
  <si>
    <t>Moldova, Republic of</t>
  </si>
  <si>
    <t>+373</t>
  </si>
  <si>
    <t>Monaco</t>
  </si>
  <si>
    <t>+377</t>
  </si>
  <si>
    <t>98999</t>
  </si>
  <si>
    <t>First 2 digits are 98</t>
  </si>
  <si>
    <t>Mongolia</t>
  </si>
  <si>
    <t>+976</t>
  </si>
  <si>
    <t>Montenegro</t>
  </si>
  <si>
    <t>+382</t>
  </si>
  <si>
    <t>Montserrat</t>
  </si>
  <si>
    <t>Morocco</t>
  </si>
  <si>
    <t>+212</t>
  </si>
  <si>
    <t>Mozambique</t>
  </si>
  <si>
    <t>+258</t>
  </si>
  <si>
    <t>Myanmar</t>
  </si>
  <si>
    <t>Namibia</t>
  </si>
  <si>
    <t>+264</t>
  </si>
  <si>
    <t>Nauru</t>
  </si>
  <si>
    <t>+674</t>
  </si>
  <si>
    <t>Nepal</t>
  </si>
  <si>
    <t>+977</t>
  </si>
  <si>
    <t>Netherlands</t>
  </si>
  <si>
    <t>9999 AA</t>
  </si>
  <si>
    <t>New Caledonia</t>
  </si>
  <si>
    <t>+687</t>
  </si>
  <si>
    <t>New Zealand</t>
  </si>
  <si>
    <t>Nicaragua</t>
  </si>
  <si>
    <t>+505</t>
  </si>
  <si>
    <t>999-999-9 or null</t>
  </si>
  <si>
    <t>Niger</t>
  </si>
  <si>
    <t>+227</t>
  </si>
  <si>
    <t>Nigeria</t>
  </si>
  <si>
    <t>+234</t>
  </si>
  <si>
    <t>Niue</t>
  </si>
  <si>
    <t>+683</t>
  </si>
  <si>
    <t>Norfolk Island</t>
  </si>
  <si>
    <t>Northern Mariana Islands</t>
  </si>
  <si>
    <t>96950, 96951, 96952</t>
  </si>
  <si>
    <t>Norway</t>
  </si>
  <si>
    <t>NOK</t>
  </si>
  <si>
    <t>NORWAY PRICE LIST</t>
  </si>
  <si>
    <t>Oman</t>
  </si>
  <si>
    <t>+968</t>
  </si>
  <si>
    <t>Pakistan</t>
  </si>
  <si>
    <t>Palau</t>
  </si>
  <si>
    <t>+680</t>
  </si>
  <si>
    <t>96939, 96940</t>
  </si>
  <si>
    <t>Palestinian Territory,Occupied</t>
  </si>
  <si>
    <t>+970</t>
  </si>
  <si>
    <t>Panama</t>
  </si>
  <si>
    <t>+507</t>
  </si>
  <si>
    <t>No Postal Code used - PO box delivery only</t>
  </si>
  <si>
    <t>Papua New Guinea</t>
  </si>
  <si>
    <t>+675</t>
  </si>
  <si>
    <t>Paraguay</t>
  </si>
  <si>
    <t>+595</t>
  </si>
  <si>
    <t>Peru</t>
  </si>
  <si>
    <t>99 or null</t>
  </si>
  <si>
    <t>0,2</t>
  </si>
  <si>
    <t>No Postal Code used except for Lima and Callao</t>
  </si>
  <si>
    <t>Philippines</t>
  </si>
  <si>
    <t>Pitcairn Islands</t>
  </si>
  <si>
    <t>+872</t>
  </si>
  <si>
    <t>PCRN 1ZZ</t>
  </si>
  <si>
    <t>Poland</t>
  </si>
  <si>
    <t>99-999</t>
  </si>
  <si>
    <t>Portugal</t>
  </si>
  <si>
    <t>+351</t>
  </si>
  <si>
    <t>9999-999 or 9999</t>
  </si>
  <si>
    <t>Puerto Rico</t>
  </si>
  <si>
    <t>Qatar</t>
  </si>
  <si>
    <t>+974</t>
  </si>
  <si>
    <t>Reunion</t>
  </si>
  <si>
    <t>+262</t>
  </si>
  <si>
    <t>Romania</t>
  </si>
  <si>
    <t>Russian Federation</t>
  </si>
  <si>
    <t>Rwanda</t>
  </si>
  <si>
    <t>+250</t>
  </si>
  <si>
    <t>Saint Helena</t>
  </si>
  <si>
    <t>+290</t>
  </si>
  <si>
    <t>STHL 1ZZ</t>
  </si>
  <si>
    <t>Saint Kitts and Nevis</t>
  </si>
  <si>
    <t>Saint Lucia</t>
  </si>
  <si>
    <t>Saint Pierre and Miquelon</t>
  </si>
  <si>
    <t>+508</t>
  </si>
  <si>
    <t>Saint Vincent &amp; the Grenadines</t>
  </si>
  <si>
    <t>Samoa</t>
  </si>
  <si>
    <t>+685</t>
  </si>
  <si>
    <t>San Marino</t>
  </si>
  <si>
    <t>+378</t>
  </si>
  <si>
    <t>Sao Tome and Principe</t>
  </si>
  <si>
    <t>+239</t>
  </si>
  <si>
    <t>Saudi Arabia</t>
  </si>
  <si>
    <t>+966</t>
  </si>
  <si>
    <t>Senegal</t>
  </si>
  <si>
    <t>+221</t>
  </si>
  <si>
    <t>Serbia</t>
  </si>
  <si>
    <t>+381</t>
  </si>
  <si>
    <t>Seychelles</t>
  </si>
  <si>
    <t>+248</t>
  </si>
  <si>
    <t>Sierra Leone</t>
  </si>
  <si>
    <t>+232</t>
  </si>
  <si>
    <t>Singapore</t>
  </si>
  <si>
    <t>SGD</t>
  </si>
  <si>
    <t>SINGAPORE PRICE LIST</t>
  </si>
  <si>
    <t>Each building has its own unique postcode.</t>
  </si>
  <si>
    <t>Sint Maarten</t>
  </si>
  <si>
    <t>Slovakia</t>
  </si>
  <si>
    <t>+421</t>
  </si>
  <si>
    <t>999 99 or null</t>
  </si>
  <si>
    <t>Slovenia</t>
  </si>
  <si>
    <t>+386</t>
  </si>
  <si>
    <t>Solomon Islands</t>
  </si>
  <si>
    <t>+677</t>
  </si>
  <si>
    <t>Somalia</t>
  </si>
  <si>
    <t>+252</t>
  </si>
  <si>
    <t>South Africa</t>
  </si>
  <si>
    <t>ZAR</t>
  </si>
  <si>
    <t>QPC EMRG MKTS ZAR RETAIL PRICING</t>
  </si>
  <si>
    <t>South Sudan</t>
  </si>
  <si>
    <t>+211</t>
  </si>
  <si>
    <t>Spain</t>
  </si>
  <si>
    <t>Sri Lanka</t>
  </si>
  <si>
    <t>Sudan</t>
  </si>
  <si>
    <t>+249</t>
  </si>
  <si>
    <t>Suriname</t>
  </si>
  <si>
    <t>+597</t>
  </si>
  <si>
    <t>Svalbard and Jan Mayen Islands</t>
  </si>
  <si>
    <t>+47-790</t>
  </si>
  <si>
    <t>Swaziland</t>
  </si>
  <si>
    <t>+268</t>
  </si>
  <si>
    <t>A999 or null</t>
  </si>
  <si>
    <t>First letter (H,L,M,S) identifies one of the country's four districts</t>
  </si>
  <si>
    <t>Switzerland</t>
  </si>
  <si>
    <t>Syria</t>
  </si>
  <si>
    <t>+963</t>
  </si>
  <si>
    <t>No Postal Code used but 4 digit Postal Code has been announced</t>
  </si>
  <si>
    <t>Taiwan</t>
  </si>
  <si>
    <t>+886</t>
  </si>
  <si>
    <t>999 99 or 999 or null</t>
  </si>
  <si>
    <t>First 3 digits of the postal code are required, the last 2 digits are optional.</t>
  </si>
  <si>
    <t>Tajikistan</t>
  </si>
  <si>
    <t>+992</t>
  </si>
  <si>
    <t>Tanzania, United Republic of</t>
  </si>
  <si>
    <t>+255</t>
  </si>
  <si>
    <t>Thailand</t>
  </si>
  <si>
    <t>THB</t>
  </si>
  <si>
    <t>QPC ASEAN THB RETAIL PRICING</t>
  </si>
  <si>
    <t>Timor-Leste</t>
  </si>
  <si>
    <t>+670</t>
  </si>
  <si>
    <t>Togo</t>
  </si>
  <si>
    <t>+228</t>
  </si>
  <si>
    <t>Tokelau</t>
  </si>
  <si>
    <t>+690</t>
  </si>
  <si>
    <t>Tonga</t>
  </si>
  <si>
    <t>+676</t>
  </si>
  <si>
    <t>Trinidad and Tobago</t>
  </si>
  <si>
    <t>Tunisia</t>
  </si>
  <si>
    <t>+216</t>
  </si>
  <si>
    <t>Turkey</t>
  </si>
  <si>
    <t>First 2 digits are the city numbers</t>
  </si>
  <si>
    <t>Turkmenistan</t>
  </si>
  <si>
    <t>+993</t>
  </si>
  <si>
    <t>Turks and Caicos Islands</t>
  </si>
  <si>
    <t>TKCA 1ZZ</t>
  </si>
  <si>
    <t>Tuvalu</t>
  </si>
  <si>
    <t>+688</t>
  </si>
  <si>
    <t>Uganda</t>
  </si>
  <si>
    <t>+256</t>
  </si>
  <si>
    <t>Ukraine</t>
  </si>
  <si>
    <t>+380</t>
  </si>
  <si>
    <t>United Arab Emirates</t>
  </si>
  <si>
    <t>+971</t>
  </si>
  <si>
    <t>United Kingdom</t>
  </si>
  <si>
    <t>A9 9AA or 
A99 9AA or 
A9A 9AA or 
AA9 9AA or 
AA99 9AA or 
AA9A 9AA</t>
  </si>
  <si>
    <t>6,7,8</t>
  </si>
  <si>
    <t>First letter(s) indicate the postal area, such as the town or part of London.</t>
  </si>
  <si>
    <t>Uruguay</t>
  </si>
  <si>
    <t>+598</t>
  </si>
  <si>
    <t>US Minor Outlying Islands</t>
  </si>
  <si>
    <t>+808</t>
  </si>
  <si>
    <t>Uzbekistan</t>
  </si>
  <si>
    <t>+998</t>
  </si>
  <si>
    <t>Vanuatu</t>
  </si>
  <si>
    <t>+678</t>
  </si>
  <si>
    <t>Venezuela</t>
  </si>
  <si>
    <t>Viet Nam</t>
  </si>
  <si>
    <t>Virgin Islands, British</t>
  </si>
  <si>
    <t>VG1190</t>
  </si>
  <si>
    <t>Every Postal Code starts "VG11" and ends "0": VG1110, VG1120, VG1130, VG1140, VG1150, VG1160</t>
  </si>
  <si>
    <t>Virgin Islands, U.S.</t>
  </si>
  <si>
    <t>00899</t>
  </si>
  <si>
    <t>First 3 digits are 008: 00801, 00802 ,00803, 00804, 00805 ,00820 ,00821, 00822, 00823, 00824, 00830, 00831, 00840, 00841, 00850, 00851</t>
  </si>
  <si>
    <t>Wallis and Futuna Islands</t>
  </si>
  <si>
    <t>+681</t>
  </si>
  <si>
    <t>Western Sahara</t>
  </si>
  <si>
    <t>Yemen</t>
  </si>
  <si>
    <t>+967</t>
  </si>
  <si>
    <t>Zambia</t>
  </si>
  <si>
    <t>+260</t>
  </si>
  <si>
    <t>Zimbabwe</t>
  </si>
  <si>
    <t>+263</t>
  </si>
  <si>
    <t>Regular Expression</t>
  </si>
  <si>
    <t>^\d{5}$</t>
  </si>
  <si>
    <t>^[A-Z][0-9][A-Z] [0-9][A-Z][0-9]$</t>
  </si>
  <si>
    <t>^$</t>
  </si>
  <si>
    <t>^BB\d{5}$|^$</t>
  </si>
  <si>
    <t>^AI-2640$</t>
  </si>
  <si>
    <t>^VG11[1-6]0$</t>
  </si>
  <si>
    <t>^0080[1-5]$|^0082[0-4]$|^008[3-5][0-1]$</t>
  </si>
  <si>
    <t>^KY[0-9]-\d{4}$|^$</t>
  </si>
  <si>
    <t>^[A-Z]{2} (\d{2}|[A-Z]{2})$</t>
  </si>
  <si>
    <t>^TKCA 1ZZ$</t>
  </si>
  <si>
    <t>^9695[0-2]$</t>
  </si>
  <si>
    <t>^9691[0235679]$|^9692[1389]$|^9693[12]$</t>
  </si>
  <si>
    <t>^96799$</t>
  </si>
  <si>
    <t>^\d{5}$|^$</t>
  </si>
  <si>
    <t>^\d{4}$|^$</t>
  </si>
  <si>
    <t>^\d{6}$|^$</t>
  </si>
  <si>
    <t>^BBND 1ZZ$</t>
  </si>
  <si>
    <t>^\d{3}$|^$</t>
  </si>
  <si>
    <t>^[A-Z]\d{3}$|^$</t>
  </si>
  <si>
    <t>^STHL 1ZZ$</t>
  </si>
  <si>
    <t>^\d{3}$</t>
  </si>
  <si>
    <t>^\d{4}$</t>
  </si>
  <si>
    <t>^\d{4} [A-Z]{2}$</t>
  </si>
  <si>
    <t>^GX11 1AA$</t>
  </si>
  <si>
    <t>^\d{4}-\d{3}$|^\d{4}$</t>
  </si>
  <si>
    <t>^\d{1,2}$|^$</t>
  </si>
  <si>
    <t>^[A-Z]{3} \d{4}$</t>
  </si>
  <si>
    <t>^\d{4,5}$</t>
  </si>
  <si>
    <t>^AD\d{3}$</t>
  </si>
  <si>
    <t>^98\d{3}$</t>
  </si>
  <si>
    <t>^00120$</t>
  </si>
  <si>
    <t>^\d{3} \d{2}$</t>
  </si>
  <si>
    <t>^\d{3} \d{2}$|^$</t>
  </si>
  <si>
    <t>^[A-Z]((\d(|\d|[A-Z]))|[A-Z](\d(|\d|[A-Z]))) [0-9][A-Z]{2}$</t>
  </si>
  <si>
    <t>^GY\d{1,2} [0-9][A-Z]{2}$</t>
  </si>
  <si>
    <t>^JE\d{1,2} [0-9][A-Z]{2}$</t>
  </si>
  <si>
    <t>^\d{2}-\d{3}$</t>
  </si>
  <si>
    <t>^FIQQ 1ZZ$</t>
  </si>
  <si>
    <t>^\d{3}-\d{3}-\d{1}$|^$</t>
  </si>
  <si>
    <t>^\d{4,5}$|^$</t>
  </si>
  <si>
    <t>^\d{2}$|^$</t>
  </si>
  <si>
    <t>^\d{5}-\d{3}$|^\d{5}$|^$</t>
  </si>
  <si>
    <t>^\d{7}$|^$</t>
  </si>
  <si>
    <t>^[A-Z]{2}\d{4}$|^$</t>
  </si>
  <si>
    <t>^969[34]$</t>
  </si>
  <si>
    <t>^9694[1-4]$</t>
  </si>
  <si>
    <t>^969[67]0$</t>
  </si>
  <si>
    <t>^\d{3}-\d{4}$</t>
  </si>
  <si>
    <t>^\d{3}-\d{3}$|^$</t>
  </si>
  <si>
    <t>^PCRN 1ZZ$</t>
  </si>
  <si>
    <t>^\d{3}$|^\d{3} \d{2}$|^$</t>
  </si>
  <si>
    <t>^\d{3} \d{3}$|^\d{6}$</t>
  </si>
  <si>
    <t>^\d{2}-\d{2}$|^$</t>
  </si>
  <si>
    <t>^\d{4} \d{4}$|^\d{4}$|^$</t>
  </si>
  <si>
    <t>^\d{5}-\d{5}$|^$</t>
  </si>
  <si>
    <t>^AZ\d{4}$|^$</t>
  </si>
  <si>
    <t>^[A-Z]\d{4}[A-Z]{3}$|^\d{4}$|^$</t>
  </si>
  <si>
    <t>Telephone
Country Code Length</t>
  </si>
  <si>
    <t xml:space="preserve">+27 </t>
  </si>
  <si>
    <t>+93</t>
  </si>
  <si>
    <t>+54</t>
  </si>
  <si>
    <t>+61</t>
  </si>
  <si>
    <t>+43</t>
  </si>
  <si>
    <t>+32</t>
  </si>
  <si>
    <t>+55</t>
  </si>
  <si>
    <t>+56</t>
  </si>
  <si>
    <t>+86</t>
  </si>
  <si>
    <t>+57</t>
  </si>
  <si>
    <t>+53</t>
  </si>
  <si>
    <t>+45</t>
  </si>
  <si>
    <t>+20</t>
  </si>
  <si>
    <t>+33</t>
  </si>
  <si>
    <t>+49</t>
  </si>
  <si>
    <t>+30</t>
  </si>
  <si>
    <t>+36</t>
  </si>
  <si>
    <t>+91</t>
  </si>
  <si>
    <t>+62</t>
  </si>
  <si>
    <t>+98</t>
  </si>
  <si>
    <t>+39</t>
  </si>
  <si>
    <t>+81</t>
  </si>
  <si>
    <t>+7</t>
  </si>
  <si>
    <t>+82</t>
  </si>
  <si>
    <t>+60</t>
  </si>
  <si>
    <t>+52</t>
  </si>
  <si>
    <t>+95</t>
  </si>
  <si>
    <t>+31</t>
  </si>
  <si>
    <t>+64</t>
  </si>
  <si>
    <t>+47</t>
  </si>
  <si>
    <t>+92</t>
  </si>
  <si>
    <t>+51</t>
  </si>
  <si>
    <t>+63</t>
  </si>
  <si>
    <t>+48</t>
  </si>
  <si>
    <t>+40</t>
  </si>
  <si>
    <t>+65</t>
  </si>
  <si>
    <t>+34</t>
  </si>
  <si>
    <t>+94</t>
  </si>
  <si>
    <t>+46</t>
  </si>
  <si>
    <t>+41</t>
  </si>
  <si>
    <t>+66</t>
  </si>
  <si>
    <t>+90</t>
  </si>
  <si>
    <t>+44</t>
  </si>
  <si>
    <t>+58</t>
  </si>
  <si>
    <t>+84</t>
  </si>
  <si>
    <t>Staff</t>
  </si>
  <si>
    <t>Notes</t>
  </si>
  <si>
    <t>Legacy System Account PK</t>
  </si>
  <si>
    <t>Surviving Legacy System Account PK</t>
  </si>
  <si>
    <t>Siebel Account ID</t>
  </si>
  <si>
    <t>Legacy Account Name</t>
  </si>
  <si>
    <t>Updated Account Name</t>
  </si>
  <si>
    <t>Account Site</t>
  </si>
  <si>
    <t>Main Phone Number</t>
  </si>
  <si>
    <t>Assignment Area Code</t>
  </si>
  <si>
    <t>Account Status</t>
  </si>
  <si>
    <t>Account Sales Channel</t>
  </si>
  <si>
    <t>Account User Organization</t>
  </si>
  <si>
    <t>Account Address Status</t>
  </si>
  <si>
    <t>Account Address Line 1</t>
  </si>
  <si>
    <t>Updated Account Address Line 1</t>
  </si>
  <si>
    <t>Account Address Line 2</t>
  </si>
  <si>
    <t>Account City</t>
  </si>
  <si>
    <t>Account County</t>
  </si>
  <si>
    <t>Account State</t>
  </si>
  <si>
    <t>Account Postal Code</t>
  </si>
  <si>
    <t>Account Country</t>
  </si>
  <si>
    <t>ASST_ID</t>
  </si>
  <si>
    <t>SRC_CUST_PROD_LOC_ID</t>
  </si>
  <si>
    <t>Local Country</t>
  </si>
  <si>
    <t>Customer/Prospect</t>
  </si>
  <si>
    <t>Dell Affinity ID</t>
  </si>
  <si>
    <t>US AIR FORCE BASE NE</t>
  </si>
  <si>
    <t>KISLAY_SINGH</t>
  </si>
  <si>
    <t>BELO HORIZONTE</t>
  </si>
  <si>
    <t>ALBANY</t>
  </si>
  <si>
    <t>WA</t>
  </si>
  <si>
    <t>Rodovia Prefeito Americo Gianetti</t>
  </si>
  <si>
    <t>Ste 502</t>
  </si>
  <si>
    <t>www.meioambiente.mg.gov.br</t>
  </si>
  <si>
    <t>Escalated</t>
  </si>
  <si>
    <t>Commercial</t>
  </si>
  <si>
    <t>340</t>
  </si>
  <si>
    <t>809 or 829</t>
  </si>
  <si>
    <t>787 or 939</t>
  </si>
  <si>
    <t>Industry</t>
  </si>
  <si>
    <t>Aerospace &amp; Defense</t>
  </si>
  <si>
    <t>Agriculture</t>
  </si>
  <si>
    <t>Air Force</t>
  </si>
  <si>
    <t>Army</t>
  </si>
  <si>
    <t>Automotive &amp; Transport Equipment</t>
  </si>
  <si>
    <t>Aviation &amp; Aerospace</t>
  </si>
  <si>
    <t>Banking</t>
  </si>
  <si>
    <t>Banking &amp; Financing</t>
  </si>
  <si>
    <t>Charities/Non-profit</t>
  </si>
  <si>
    <t>+1 8434567890</t>
  </si>
  <si>
    <t>+55 8434567890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</si>
</sst>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7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5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20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0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Border="1"/>
    <xf numFmtId="49" fontId="0" fillId="0" borderId="0" xfId="0" applyNumberFormat="1" applyBorder="1"/>
    <xf numFmtId="0" fontId="1" fillId="0" borderId="0" xfId="0" applyFont="1" applyBorder="1"/>
    <xf numFmtId="49" fontId="1" fillId="0" borderId="0" xfId="0" applyNumberFormat="1" applyFont="1" applyBorder="1"/>
    <xf numFmtId="0" fontId="1" fillId="0" borderId="0" xfId="0" applyFont="1" applyBorder="1" applyAlignment="1"/>
    <xf numFmtId="0" fontId="5" fillId="0" borderId="0" xfId="0" applyFont="1" applyBorder="1"/>
    <xf numFmtId="0" fontId="1" fillId="0" borderId="0" xfId="0" applyNumberFormat="1" applyFont="1" applyBorder="1"/>
    <xf numFmtId="0" fontId="0" fillId="0" borderId="0" xfId="0" applyNumberFormat="1" applyBorder="1"/>
    <xf numFmtId="0" fontId="1" fillId="0" borderId="0" xfId="0" applyNumberFormat="1" applyFont="1" applyBorder="1" applyAlignment="1"/>
    <xf numFmtId="0" fontId="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Font="1" applyBorder="1"/>
    <xf numFmtId="0" fontId="0" fillId="0" borderId="0" xfId="0"/>
    <xf numFmtId="22" fontId="0" fillId="0" borderId="0" xfId="0" applyNumberFormat="1" applyFill="1"/>
    <xf numFmtId="49" fontId="0" fillId="0" borderId="0" xfId="0" applyNumberFormat="1"/>
    <xf numFmtId="49" fontId="1" fillId="0" borderId="0" xfId="0" applyNumberFormat="1" applyFont="1" applyBorder="1" applyAlignment="1"/>
    <xf numFmtId="0" fontId="2" fillId="0" borderId="0" xfId="0" applyFont="1" applyBorder="1" applyAlignment="1"/>
    <xf numFmtId="0" fontId="1" fillId="33" borderId="0" xfId="0" applyFont="1" applyFill="1" applyBorder="1"/>
    <xf numFmtId="0" fontId="1" fillId="33" borderId="0" xfId="0" applyNumberFormat="1" applyFont="1" applyFill="1" applyBorder="1"/>
    <xf numFmtId="49" fontId="1" fillId="33" borderId="0" xfId="0" applyNumberFormat="1" applyFont="1" applyFill="1" applyBorder="1"/>
    <xf numFmtId="0" fontId="1" fillId="0" borderId="0" xfId="0" applyFont="1" applyFill="1" applyBorder="1" applyAlignment="1"/>
    <xf numFmtId="49" fontId="1" fillId="33" borderId="0" xfId="0" applyNumberFormat="1" applyFont="1" applyFill="1" applyAlignment="1"/>
    <xf numFmtId="49" fontId="0" fillId="0" borderId="0" xfId="0" applyNumberFormat="1" applyAlignment="1"/>
    <xf numFmtId="49" fontId="0" fillId="0" borderId="0" xfId="0" applyNumberFormat="1" applyFont="1" applyAlignment="1"/>
    <xf numFmtId="0" fontId="3" fillId="33" borderId="0" xfId="0" applyNumberFormat="1" applyFont="1" applyFill="1" applyAlignment="1"/>
    <xf numFmtId="0" fontId="4" fillId="0" borderId="0" xfId="0" applyNumberFormat="1" applyFont="1" applyAlignment="1"/>
    <xf numFmtId="0" fontId="0" fillId="0" borderId="0" xfId="0" applyFill="1"/>
    <xf numFmtId="0" fontId="21" fillId="0" borderId="0" xfId="42"/>
  </cellXfs>
  <cellStyles count="43">
    <cellStyle name="20% - Accent1 2" xfId="19" xr:uid="{00000000-0005-0000-0000-000000000000}"/>
    <cellStyle name="20% - Accent2 2" xfId="23" xr:uid="{00000000-0005-0000-0000-000001000000}"/>
    <cellStyle name="20% - Accent3 2" xfId="27" xr:uid="{00000000-0005-0000-0000-000002000000}"/>
    <cellStyle name="20% - Accent4 2" xfId="31" xr:uid="{00000000-0005-0000-0000-000003000000}"/>
    <cellStyle name="20% - Accent5 2" xfId="35" xr:uid="{00000000-0005-0000-0000-000004000000}"/>
    <cellStyle name="20% - Accent6 2" xfId="39" xr:uid="{00000000-0005-0000-0000-000005000000}"/>
    <cellStyle name="40% - Accent1 2" xfId="20" xr:uid="{00000000-0005-0000-0000-000006000000}"/>
    <cellStyle name="40% - Accent2 2" xfId="24" xr:uid="{00000000-0005-0000-0000-000007000000}"/>
    <cellStyle name="40% - Accent3 2" xfId="28" xr:uid="{00000000-0005-0000-0000-000008000000}"/>
    <cellStyle name="40% - Accent4 2" xfId="32" xr:uid="{00000000-0005-0000-0000-000009000000}"/>
    <cellStyle name="40% - Accent5 2" xfId="36" xr:uid="{00000000-0005-0000-0000-00000A000000}"/>
    <cellStyle name="40% - Accent6 2" xfId="40" xr:uid="{00000000-0005-0000-0000-00000B000000}"/>
    <cellStyle name="60% - Accent1 2" xfId="21" xr:uid="{00000000-0005-0000-0000-00000C000000}"/>
    <cellStyle name="60% - Accent2 2" xfId="25" xr:uid="{00000000-0005-0000-0000-00000D000000}"/>
    <cellStyle name="60% - Accent3 2" xfId="29" xr:uid="{00000000-0005-0000-0000-00000E000000}"/>
    <cellStyle name="60% - Accent4 2" xfId="33" xr:uid="{00000000-0005-0000-0000-00000F000000}"/>
    <cellStyle name="60% - Accent5 2" xfId="37" xr:uid="{00000000-0005-0000-0000-000010000000}"/>
    <cellStyle name="60% - Accent6 2" xfId="41" xr:uid="{00000000-0005-0000-0000-000011000000}"/>
    <cellStyle name="Accent1 2" xfId="18" xr:uid="{00000000-0005-0000-0000-000012000000}"/>
    <cellStyle name="Accent2 2" xfId="22" xr:uid="{00000000-0005-0000-0000-000013000000}"/>
    <cellStyle name="Accent3 2" xfId="26" xr:uid="{00000000-0005-0000-0000-000014000000}"/>
    <cellStyle name="Accent4 2" xfId="30" xr:uid="{00000000-0005-0000-0000-000015000000}"/>
    <cellStyle name="Accent5 2" xfId="34" xr:uid="{00000000-0005-0000-0000-000016000000}"/>
    <cellStyle name="Accent6 2" xfId="38" xr:uid="{00000000-0005-0000-0000-000017000000}"/>
    <cellStyle name="Bad 2" xfId="8" xr:uid="{00000000-0005-0000-0000-000018000000}"/>
    <cellStyle name="Calculation 2" xfId="12" xr:uid="{00000000-0005-0000-0000-000019000000}"/>
    <cellStyle name="Check Cell 2" xfId="14" xr:uid="{00000000-0005-0000-0000-00001A000000}"/>
    <cellStyle name="Explanatory Text 2" xfId="16" xr:uid="{00000000-0005-0000-0000-00001B000000}"/>
    <cellStyle name="Good 2" xfId="7" xr:uid="{00000000-0005-0000-0000-00001C000000}"/>
    <cellStyle name="Heading 1 2" xfId="3" xr:uid="{00000000-0005-0000-0000-00001D000000}"/>
    <cellStyle name="Heading 2 2" xfId="4" xr:uid="{00000000-0005-0000-0000-00001E000000}"/>
    <cellStyle name="Heading 3 2" xfId="5" xr:uid="{00000000-0005-0000-0000-00001F000000}"/>
    <cellStyle name="Heading 4 2" xfId="6" xr:uid="{00000000-0005-0000-0000-000020000000}"/>
    <cellStyle name="Hyperlink" xfId="42" builtinId="8"/>
    <cellStyle name="Input 2" xfId="10" xr:uid="{00000000-0005-0000-0000-000022000000}"/>
    <cellStyle name="Linked Cell 2" xfId="13" xr:uid="{00000000-0005-0000-0000-000023000000}"/>
    <cellStyle name="Neutral 2" xfId="9" xr:uid="{00000000-0005-0000-0000-000024000000}"/>
    <cellStyle name="Normal" xfId="0" builtinId="0"/>
    <cellStyle name="Note" xfId="2" builtinId="10" customBuiltin="1"/>
    <cellStyle name="Output 2" xfId="11" xr:uid="{00000000-0005-0000-0000-000027000000}"/>
    <cellStyle name="Title" xfId="1" builtinId="15" customBuiltin="1"/>
    <cellStyle name="Total 2" xfId="17" xr:uid="{00000000-0005-0000-0000-000029000000}"/>
    <cellStyle name="Warning Text 2" xfId="15" xr:uid="{00000000-0005-0000-0000-00002A000000}"/>
  </cellStyles>
  <dxfs count="4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3</xdr:row>
          <xdr:rowOff>66675</xdr:rowOff>
        </xdr:from>
        <xdr:to>
          <xdr:col>2</xdr:col>
          <xdr:colOff>600075</xdr:colOff>
          <xdr:row>5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Rectifier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3</xdr:row>
          <xdr:rowOff>66675</xdr:rowOff>
        </xdr:from>
        <xdr:to>
          <xdr:col>3</xdr:col>
          <xdr:colOff>914400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1"/>
  <sheetViews>
    <sheetView tabSelected="1" workbookViewId="0"/>
  </sheetViews>
  <sheetFormatPr defaultRowHeight="15" x14ac:dyDescent="0.25"/>
  <cols>
    <col min="1" max="1" width="13.5703125" bestFit="1" customWidth="1"/>
    <col min="2" max="2" width="9.28515625" bestFit="1" customWidth="1"/>
    <col min="3" max="3" width="24.42578125" bestFit="1" customWidth="1"/>
    <col min="4" max="4" width="33.28515625" bestFit="1" customWidth="1"/>
    <col min="5" max="5" width="16.5703125" bestFit="1" customWidth="1"/>
    <col min="6" max="6" width="20.42578125" bestFit="1" customWidth="1"/>
    <col min="7" max="7" width="22.42578125" bestFit="1" customWidth="1"/>
    <col min="8" max="8" width="16.28515625" bestFit="1" customWidth="1"/>
    <col min="9" max="9" width="19.7109375" bestFit="1" customWidth="1"/>
    <col min="10" max="10" width="21.42578125" bestFit="1" customWidth="1"/>
    <col min="11" max="11" width="14.140625" bestFit="1" customWidth="1"/>
    <col min="12" max="12" width="12.85546875" bestFit="1" customWidth="1"/>
    <col min="13" max="13" width="21.140625" bestFit="1" customWidth="1"/>
    <col min="14" max="14" width="24.85546875" bestFit="1" customWidth="1"/>
    <col min="15" max="15" width="22" bestFit="1" customWidth="1"/>
    <col min="16" max="16" width="21.7109375" bestFit="1" customWidth="1"/>
    <col min="17" max="17" width="32" bestFit="1" customWidth="1"/>
    <col min="18" max="18" width="21.7109375" bestFit="1" customWidth="1"/>
    <col min="19" max="19" width="16.28515625" bestFit="1" customWidth="1"/>
    <col min="20" max="20" width="15" bestFit="1" customWidth="1"/>
    <col min="21" max="21" width="13.28515625" bestFit="1" customWidth="1"/>
    <col min="22" max="22" width="19.28515625" bestFit="1" customWidth="1"/>
    <col min="23" max="23" width="15.7109375" bestFit="1" customWidth="1"/>
    <col min="24" max="24" width="8.140625" bestFit="1" customWidth="1"/>
    <col min="25" max="25" width="23.5703125" bestFit="1" customWidth="1"/>
    <col min="26" max="26" width="8.85546875" bestFit="1" customWidth="1"/>
    <col min="27" max="27" width="9.85546875" bestFit="1" customWidth="1"/>
    <col min="28" max="28" width="29.42578125" bestFit="1" customWidth="1"/>
    <col min="29" max="29" width="7.5703125" bestFit="1" customWidth="1"/>
    <col min="30" max="30" width="11.140625" bestFit="1" customWidth="1"/>
    <col min="31" max="31" width="28" bestFit="1" customWidth="1"/>
    <col min="32" max="32" width="13.140625" bestFit="1" customWidth="1"/>
    <col min="33" max="33" width="9.28515625" bestFit="1" customWidth="1"/>
    <col min="34" max="34" width="12.85546875" bestFit="1" customWidth="1"/>
    <col min="35" max="35" width="18.42578125" bestFit="1" customWidth="1"/>
    <col min="36" max="36" width="14.140625" bestFit="1" customWidth="1"/>
  </cols>
  <sheetData>
    <row r="1" spans="1:36" x14ac:dyDescent="0.25">
      <c r="A1" s="21" t="s">
        <v>671</v>
      </c>
      <c r="B1" s="21" t="s">
        <v>672</v>
      </c>
      <c r="C1" s="21" t="s">
        <v>673</v>
      </c>
      <c r="D1" s="21" t="s">
        <v>674</v>
      </c>
      <c r="E1" s="21" t="s">
        <v>675</v>
      </c>
      <c r="F1" s="22" t="s">
        <v>676</v>
      </c>
      <c r="G1" s="21" t="s">
        <v>677</v>
      </c>
      <c r="H1" s="21" t="s">
        <v>678</v>
      </c>
      <c r="I1" s="23" t="s">
        <v>679</v>
      </c>
      <c r="J1" s="21" t="s">
        <v>680</v>
      </c>
      <c r="K1" s="21" t="s">
        <v>681</v>
      </c>
      <c r="L1" s="21" t="s">
        <v>4</v>
      </c>
      <c r="M1" s="21" t="s">
        <v>682</v>
      </c>
      <c r="N1" s="21" t="s">
        <v>683</v>
      </c>
      <c r="O1" s="21" t="s">
        <v>684</v>
      </c>
      <c r="P1" s="22" t="s">
        <v>685</v>
      </c>
      <c r="Q1" s="21" t="s">
        <v>686</v>
      </c>
      <c r="R1" s="21" t="s">
        <v>687</v>
      </c>
      <c r="S1" s="21" t="s">
        <v>688</v>
      </c>
      <c r="T1" s="23" t="s">
        <v>689</v>
      </c>
      <c r="U1" s="22" t="s">
        <v>690</v>
      </c>
      <c r="V1" s="21" t="s">
        <v>691</v>
      </c>
      <c r="W1" s="21" t="s">
        <v>692</v>
      </c>
      <c r="X1" s="21" t="s">
        <v>693</v>
      </c>
      <c r="Y1" s="21" t="s">
        <v>694</v>
      </c>
      <c r="Z1" s="21" t="s">
        <v>3</v>
      </c>
      <c r="AA1" s="21" t="s">
        <v>0</v>
      </c>
      <c r="AB1" s="21" t="s">
        <v>1</v>
      </c>
      <c r="AC1" s="21" t="s">
        <v>8</v>
      </c>
      <c r="AD1" s="21" t="s">
        <v>7</v>
      </c>
      <c r="AE1" s="21" t="s">
        <v>9</v>
      </c>
      <c r="AF1" s="21" t="s">
        <v>10</v>
      </c>
      <c r="AG1" s="21" t="s">
        <v>11</v>
      </c>
      <c r="AH1" s="21" t="s">
        <v>695</v>
      </c>
      <c r="AI1" s="21" t="s">
        <v>696</v>
      </c>
      <c r="AJ1" s="21" t="s">
        <v>697</v>
      </c>
    </row>
    <row r="2" spans="1:36" x14ac:dyDescent="0.25">
      <c r="A2" s="16" t="s">
        <v>699</v>
      </c>
      <c r="B2" s="16" t="s">
        <v>706</v>
      </c>
      <c r="G2" s="16" t="s">
        <v>698</v>
      </c>
      <c r="H2" s="16" t="s">
        <v>700</v>
      </c>
      <c r="I2" s="18" t="s">
        <v>722</v>
      </c>
      <c r="J2" s="16">
        <v>843</v>
      </c>
      <c r="L2" s="16" t="s">
        <v>707</v>
      </c>
      <c r="Q2" s="16" t="s">
        <v>703</v>
      </c>
      <c r="R2" s="16" t="s">
        <v>704</v>
      </c>
      <c r="S2" s="16" t="s">
        <v>700</v>
      </c>
      <c r="T2" s="16" t="s">
        <v>701</v>
      </c>
      <c r="U2" s="16" t="s">
        <v>702</v>
      </c>
      <c r="V2" s="16">
        <v>3163</v>
      </c>
      <c r="W2" s="16" t="s">
        <v>12</v>
      </c>
      <c r="Z2" s="16" t="s">
        <v>13</v>
      </c>
      <c r="AA2" s="30" t="s">
        <v>715</v>
      </c>
      <c r="AB2" s="16" t="s">
        <v>705</v>
      </c>
    </row>
    <row r="3" spans="1:36" x14ac:dyDescent="0.25">
      <c r="T3" s="18"/>
      <c r="U3" s="17"/>
    </row>
    <row r="4" spans="1:36" x14ac:dyDescent="0.25">
      <c r="T4" s="18"/>
      <c r="U4" s="17"/>
      <c r="AB4" s="31"/>
    </row>
    <row r="5" spans="1:36" x14ac:dyDescent="0.25">
      <c r="A5" s="5"/>
      <c r="B5" s="5"/>
      <c r="C5" s="5"/>
      <c r="D5" s="5"/>
      <c r="E5" s="5"/>
      <c r="F5" s="5"/>
      <c r="G5" s="9"/>
      <c r="H5" s="5"/>
      <c r="I5" s="5"/>
      <c r="J5" s="7"/>
      <c r="K5" s="7"/>
      <c r="L5" s="7"/>
      <c r="M5" s="7"/>
      <c r="N5" s="11"/>
      <c r="O5" s="7"/>
      <c r="P5" s="24"/>
      <c r="Q5" s="24"/>
      <c r="R5" s="24"/>
      <c r="S5" s="5"/>
      <c r="T5" s="6"/>
      <c r="U5" s="7"/>
      <c r="V5" s="7"/>
      <c r="W5" s="7"/>
      <c r="AB5" s="5"/>
      <c r="AE5" s="5"/>
    </row>
    <row r="6" spans="1:36" x14ac:dyDescent="0.25">
      <c r="A6" s="5"/>
      <c r="B6" s="5"/>
      <c r="C6" s="5"/>
      <c r="D6" s="5"/>
      <c r="E6" s="5"/>
      <c r="F6" s="5"/>
      <c r="G6" s="5"/>
      <c r="H6" s="6"/>
      <c r="I6" s="5"/>
      <c r="J6" s="7"/>
      <c r="K6" s="7"/>
      <c r="L6" s="7"/>
      <c r="M6" s="5"/>
      <c r="N6" s="5"/>
      <c r="O6" s="5"/>
      <c r="P6" s="7"/>
      <c r="Q6" s="7"/>
      <c r="R6" s="7"/>
      <c r="S6" s="11"/>
      <c r="T6" s="6"/>
      <c r="U6" s="7"/>
      <c r="W6" s="1"/>
      <c r="AB6" s="5"/>
    </row>
    <row r="7" spans="1:36" x14ac:dyDescent="0.25">
      <c r="A7" s="5"/>
      <c r="B7" s="5"/>
      <c r="C7" s="5"/>
      <c r="D7" s="5"/>
      <c r="E7" s="5"/>
      <c r="F7" s="5"/>
      <c r="H7" s="6"/>
      <c r="I7" s="5"/>
      <c r="J7" s="7"/>
      <c r="K7" s="7"/>
      <c r="M7" s="5"/>
      <c r="N7" s="5"/>
      <c r="O7" s="5"/>
      <c r="P7" s="7"/>
      <c r="Q7" s="7"/>
      <c r="R7" s="7"/>
      <c r="S7" s="11"/>
      <c r="T7" s="6"/>
      <c r="U7" s="7"/>
      <c r="W7" s="2"/>
    </row>
    <row r="8" spans="1:36" x14ac:dyDescent="0.25">
      <c r="A8" s="5"/>
      <c r="B8" s="5"/>
      <c r="C8" s="5"/>
      <c r="D8" s="5"/>
      <c r="E8" s="5"/>
      <c r="F8" s="5"/>
      <c r="H8" s="6"/>
      <c r="I8" s="5"/>
      <c r="J8" s="5"/>
      <c r="K8" s="7"/>
      <c r="M8" s="8"/>
      <c r="N8" s="5"/>
      <c r="O8" s="5"/>
      <c r="P8" s="7"/>
      <c r="Q8" s="7"/>
      <c r="R8" s="7"/>
      <c r="S8" s="11"/>
      <c r="T8" s="19"/>
      <c r="U8" s="7"/>
      <c r="W8" s="16"/>
    </row>
    <row r="9" spans="1:36" x14ac:dyDescent="0.25">
      <c r="A9" s="5"/>
      <c r="B9" s="5"/>
      <c r="C9" s="5"/>
      <c r="D9" s="5"/>
      <c r="E9" s="5"/>
      <c r="F9" s="5"/>
      <c r="H9" s="6"/>
      <c r="I9" s="5"/>
      <c r="J9" s="5"/>
      <c r="K9" s="12"/>
      <c r="N9" s="5"/>
      <c r="W9" s="16"/>
    </row>
    <row r="10" spans="1:36" x14ac:dyDescent="0.25">
      <c r="A10" s="12"/>
      <c r="E10" s="5"/>
      <c r="K10" s="13"/>
      <c r="W10" s="16"/>
    </row>
    <row r="11" spans="1:36" x14ac:dyDescent="0.25">
      <c r="B11" s="20"/>
      <c r="C11" s="14"/>
      <c r="H11" s="16"/>
      <c r="L11" s="18"/>
      <c r="S11" s="3"/>
      <c r="T11" s="3"/>
      <c r="V11" s="3"/>
      <c r="W11" s="3"/>
      <c r="X11" s="3"/>
      <c r="Y11" s="3"/>
      <c r="Z11" s="3"/>
      <c r="AA11" s="3"/>
      <c r="AC11" s="3"/>
      <c r="AD11" s="3"/>
    </row>
    <row r="12" spans="1:36" x14ac:dyDescent="0.25">
      <c r="B12" s="16"/>
      <c r="C12" s="12"/>
      <c r="H12" s="3"/>
      <c r="J12" s="3"/>
      <c r="K12" s="3"/>
      <c r="L12" s="4"/>
      <c r="N12" s="16"/>
      <c r="S12" s="3"/>
      <c r="V12" s="3"/>
      <c r="W12" s="3"/>
      <c r="X12" s="3"/>
      <c r="Y12" s="3"/>
      <c r="Z12" s="3"/>
      <c r="AA12" s="3"/>
      <c r="AC12" s="3"/>
      <c r="AD12" s="3"/>
    </row>
    <row r="13" spans="1:36" x14ac:dyDescent="0.25">
      <c r="B13" s="10"/>
      <c r="C13" s="10"/>
      <c r="H13" s="3"/>
      <c r="I13" s="3"/>
      <c r="K13" s="3"/>
      <c r="L13" s="4"/>
      <c r="N13" s="16"/>
      <c r="S13" s="3"/>
      <c r="V13" s="3"/>
      <c r="W13" s="3"/>
      <c r="X13" s="3"/>
      <c r="Y13" s="3"/>
      <c r="Z13" s="3"/>
      <c r="AA13" s="3"/>
      <c r="AC13" s="3"/>
      <c r="AD13" s="3"/>
    </row>
    <row r="14" spans="1:36" x14ac:dyDescent="0.25">
      <c r="B14" s="10"/>
      <c r="C14" s="10"/>
      <c r="H14" s="3"/>
      <c r="I14" s="3"/>
      <c r="K14" s="3"/>
      <c r="L14" s="4"/>
      <c r="N14" s="16"/>
      <c r="S14" s="3"/>
      <c r="V14" s="3"/>
      <c r="W14" s="3"/>
      <c r="X14" s="3"/>
      <c r="Y14" s="3"/>
      <c r="Z14" s="3"/>
      <c r="AA14" s="3"/>
      <c r="AC14" s="3"/>
      <c r="AD14" s="3"/>
    </row>
    <row r="15" spans="1:36" x14ac:dyDescent="0.25">
      <c r="B15" s="10"/>
      <c r="C15" s="10"/>
      <c r="H15" s="3"/>
      <c r="I15" s="3"/>
      <c r="K15" s="3"/>
      <c r="L15" s="4"/>
      <c r="N15" s="16"/>
      <c r="S15" s="3"/>
      <c r="V15" s="3"/>
      <c r="W15" s="3"/>
      <c r="X15" s="3"/>
      <c r="Y15" s="3"/>
      <c r="Z15" s="3"/>
      <c r="AA15" s="3"/>
      <c r="AC15" s="3"/>
      <c r="AD15" s="3"/>
    </row>
    <row r="16" spans="1:36" x14ac:dyDescent="0.25">
      <c r="B16" s="10"/>
      <c r="C16" s="10"/>
      <c r="H16" s="3"/>
      <c r="I16" s="3"/>
      <c r="J16" s="3"/>
      <c r="L16" s="4"/>
      <c r="O16" s="16"/>
      <c r="T16" s="3"/>
      <c r="W16" s="3"/>
      <c r="X16" s="3"/>
      <c r="Y16" s="3"/>
      <c r="Z16" s="3"/>
      <c r="AA16" s="3"/>
      <c r="AC16" s="3"/>
      <c r="AD16" s="3"/>
    </row>
    <row r="17" spans="2:30" x14ac:dyDescent="0.25">
      <c r="B17" s="16"/>
      <c r="C17" s="15"/>
      <c r="H17" s="3"/>
      <c r="I17" s="3"/>
      <c r="J17" s="3"/>
      <c r="L17" s="4"/>
      <c r="T17" s="3"/>
      <c r="W17" s="3"/>
      <c r="X17" s="3"/>
      <c r="Y17" s="3"/>
      <c r="Z17" s="3"/>
      <c r="AA17" s="3"/>
      <c r="AC17" s="3"/>
      <c r="AD17" s="3"/>
    </row>
    <row r="18" spans="2:30" x14ac:dyDescent="0.25">
      <c r="B18" s="10"/>
      <c r="H18" s="3"/>
      <c r="I18" s="3"/>
      <c r="J18" s="3"/>
      <c r="L18" s="4"/>
      <c r="T18" s="3"/>
      <c r="W18" s="3"/>
      <c r="X18" s="3"/>
      <c r="Y18" s="3"/>
      <c r="Z18" s="3"/>
      <c r="AA18" s="3"/>
      <c r="AC18" s="3"/>
      <c r="AD18" s="3"/>
    </row>
    <row r="19" spans="2:30" x14ac:dyDescent="0.25">
      <c r="I19" s="16"/>
      <c r="K19" s="12"/>
    </row>
    <row r="20" spans="2:30" x14ac:dyDescent="0.25">
      <c r="K20" s="3"/>
    </row>
    <row r="21" spans="2:30" x14ac:dyDescent="0.25">
      <c r="K21" s="5"/>
    </row>
  </sheetData>
  <conditionalFormatting sqref="G2">
    <cfRule type="expression" dxfId="44" priority="46">
      <formula>ae($G$2)</formula>
    </cfRule>
    <cfRule type="expression" dxfId="43" priority="45">
      <formula>anl($G$2)</formula>
    </cfRule>
    <cfRule type="expression" dxfId="42" priority="36">
      <formula>es($G$2)</formula>
    </cfRule>
    <cfRule type="expression" dxfId="41" priority="26">
      <formula>ican($G$2)</formula>
    </cfRule>
    <cfRule type="expression" dxfId="40" priority="22">
      <formula>nv($G$2)</formula>
    </cfRule>
    <cfRule type="expression" dxfId="39" priority="8">
      <formula>uc($G$2)</formula>
    </cfRule>
  </conditionalFormatting>
  <conditionalFormatting sqref="L2">
    <cfRule type="expression" dxfId="38" priority="44">
      <formula>ate($L$2)</formula>
    </cfRule>
  </conditionalFormatting>
  <conditionalFormatting sqref="Q2">
    <cfRule type="expression" dxfId="37" priority="43">
      <formula>ade($Q$2)</formula>
    </cfRule>
    <cfRule type="expression" dxfId="36" priority="41">
      <formula>apc($Q$2)</formula>
    </cfRule>
    <cfRule type="expression" dxfId="35" priority="31">
      <formula>icaa($Q$2)</formula>
    </cfRule>
    <cfRule type="expression" dxfId="34" priority="19">
      <formula>nv($Q$2)</formula>
    </cfRule>
  </conditionalFormatting>
  <conditionalFormatting sqref="R2">
    <cfRule type="expression" dxfId="33" priority="42">
      <formula>ade($R$2)</formula>
    </cfRule>
    <cfRule type="expression" dxfId="32" priority="40">
      <formula>apc($R$2)</formula>
    </cfRule>
    <cfRule type="expression" dxfId="31" priority="30">
      <formula>icaa($R$2)</formula>
    </cfRule>
  </conditionalFormatting>
  <conditionalFormatting sqref="J2">
    <cfRule type="expression" dxfId="30" priority="39">
      <formula>aace($J$2,$I$2,$W$2)</formula>
    </cfRule>
  </conditionalFormatting>
  <conditionalFormatting sqref="T2">
    <cfRule type="expression" dxfId="29" priority="38">
      <formula>ce($S$2,$T$2,$W$2)</formula>
    </cfRule>
    <cfRule type="expression" dxfId="28" priority="28">
      <formula>icaa($T$2)</formula>
    </cfRule>
    <cfRule type="expression" dxfId="27" priority="5">
      <formula>uc($T$2)</formula>
    </cfRule>
  </conditionalFormatting>
  <conditionalFormatting sqref="Z2">
    <cfRule type="expression" dxfId="26" priority="37">
      <formula>curerr($Z$2,$W$2)</formula>
    </cfRule>
  </conditionalFormatting>
  <conditionalFormatting sqref="H2">
    <cfRule type="expression" dxfId="25" priority="35">
      <formula>es($H$2)</formula>
    </cfRule>
    <cfRule type="expression" dxfId="24" priority="32">
      <formula>icaa($H$2)</formula>
    </cfRule>
    <cfRule type="expression" dxfId="23" priority="21">
      <formula>nv($H$2)</formula>
    </cfRule>
    <cfRule type="expression" dxfId="22" priority="12">
      <formula>sce($H$2,$S$2)</formula>
    </cfRule>
    <cfRule type="expression" dxfId="21" priority="11">
      <formula>sne($H$2)</formula>
    </cfRule>
    <cfRule type="expression" dxfId="20" priority="7">
      <formula>uc($H$2)</formula>
    </cfRule>
  </conditionalFormatting>
  <conditionalFormatting sqref="AA2">
    <cfRule type="expression" dxfId="19" priority="34">
      <formula>ie($AA$2)</formula>
    </cfRule>
    <cfRule type="expression" dxfId="18" priority="16">
      <formula>nv($AA$2)</formula>
    </cfRule>
  </conditionalFormatting>
  <conditionalFormatting sqref="S2">
    <cfRule type="expression" dxfId="17" priority="29">
      <formula>icaa($S$2)</formula>
    </cfRule>
    <cfRule type="expression" dxfId="16" priority="18">
      <formula>nv($S$2)</formula>
    </cfRule>
    <cfRule type="expression" dxfId="15" priority="6">
      <formula>uc($S$2)</formula>
    </cfRule>
  </conditionalFormatting>
  <conditionalFormatting sqref="U2">
    <cfRule type="expression" dxfId="14" priority="27">
      <formula>icaa($U$2)</formula>
    </cfRule>
    <cfRule type="expression" dxfId="13" priority="10">
      <formula>ste($U$2,$W$2)</formula>
    </cfRule>
    <cfRule type="expression" dxfId="12" priority="4">
      <formula>uc($U$2)</formula>
    </cfRule>
  </conditionalFormatting>
  <conditionalFormatting sqref="B2">
    <cfRule type="expression" dxfId="11" priority="25">
      <formula>ne($B$2)</formula>
    </cfRule>
    <cfRule type="expression" dxfId="10" priority="24">
      <formula>nv($B$2)</formula>
    </cfRule>
  </conditionalFormatting>
  <conditionalFormatting sqref="A2">
    <cfRule type="expression" dxfId="9" priority="23">
      <formula>nv($A$2)</formula>
    </cfRule>
  </conditionalFormatting>
  <conditionalFormatting sqref="I2">
    <cfRule type="expression" dxfId="8" priority="20">
      <formula>nv($I$2)</formula>
    </cfRule>
    <cfRule type="expression" dxfId="7" priority="14">
      <formula>pne($I$2,$W$2)</formula>
    </cfRule>
    <cfRule type="expression" dxfId="6" priority="9">
      <formula>tn($I$2,$W$2)</formula>
    </cfRule>
    <cfRule type="expression" dxfId="5" priority="2">
      <formula>tcc($I$2,$W$2)</formula>
    </cfRule>
    <cfRule type="expression" dxfId="4" priority="1">
      <formula>es($I$2)</formula>
    </cfRule>
  </conditionalFormatting>
  <conditionalFormatting sqref="W2">
    <cfRule type="expression" dxfId="3" priority="17">
      <formula>nv($W$2)</formula>
    </cfRule>
  </conditionalFormatting>
  <conditionalFormatting sqref="AB2">
    <cfRule type="expression" dxfId="2" priority="15">
      <formula>nv($AB$2)</formula>
    </cfRule>
    <cfRule type="expression" dxfId="1" priority="3">
      <formula>urle($AB$2)</formula>
    </cfRule>
  </conditionalFormatting>
  <conditionalFormatting sqref="V2">
    <cfRule type="expression" dxfId="0" priority="13">
      <formula>pc($V$2,$W$2)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ctifier.Rectifier">
                <anchor moveWithCells="1" sizeWithCells="1">
                  <from>
                    <xdr:col>0</xdr:col>
                    <xdr:colOff>447675</xdr:colOff>
                    <xdr:row>3</xdr:row>
                    <xdr:rowOff>66675</xdr:rowOff>
                  </from>
                  <to>
                    <xdr:col>2</xdr:col>
                    <xdr:colOff>600075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Rectifier_Formatting">
                <anchor moveWithCells="1" sizeWithCells="1">
                  <from>
                    <xdr:col>2</xdr:col>
                    <xdr:colOff>866775</xdr:colOff>
                    <xdr:row>3</xdr:row>
                    <xdr:rowOff>66675</xdr:rowOff>
                  </from>
                  <to>
                    <xdr:col>3</xdr:col>
                    <xdr:colOff>914400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L242"/>
  <sheetViews>
    <sheetView workbookViewId="0"/>
  </sheetViews>
  <sheetFormatPr defaultRowHeight="15" x14ac:dyDescent="0.25"/>
  <cols>
    <col min="1" max="1" width="29.85546875" bestFit="1" customWidth="1"/>
    <col min="2" max="2" width="11.5703125" bestFit="1" customWidth="1"/>
    <col min="3" max="3" width="34.28515625" bestFit="1" customWidth="1"/>
    <col min="4" max="4" width="31.140625" bestFit="1" customWidth="1"/>
    <col min="5" max="5" width="24.140625" bestFit="1" customWidth="1"/>
    <col min="6" max="6" width="6.28515625" bestFit="1" customWidth="1"/>
    <col min="7" max="7" width="68.42578125" bestFit="1" customWidth="1"/>
    <col min="8" max="8" width="53.7109375" bestFit="1" customWidth="1"/>
    <col min="9" max="9" width="5.140625" bestFit="1" customWidth="1"/>
    <col min="10" max="10" width="118" bestFit="1" customWidth="1"/>
    <col min="11" max="11" width="30.85546875" bestFit="1" customWidth="1"/>
    <col min="12" max="12" width="33.140625" bestFit="1" customWidth="1"/>
  </cols>
  <sheetData>
    <row r="1" spans="1:12" x14ac:dyDescent="0.25">
      <c r="A1" s="25" t="s">
        <v>22</v>
      </c>
      <c r="B1" s="25" t="s">
        <v>23</v>
      </c>
      <c r="C1" s="25" t="s">
        <v>24</v>
      </c>
      <c r="D1" s="25" t="s">
        <v>25</v>
      </c>
      <c r="E1" s="25" t="s">
        <v>26</v>
      </c>
      <c r="F1" s="25" t="s">
        <v>27</v>
      </c>
      <c r="G1" s="25" t="s">
        <v>28</v>
      </c>
      <c r="H1" s="25" t="s">
        <v>567</v>
      </c>
      <c r="I1" s="25" t="s">
        <v>29</v>
      </c>
      <c r="J1" s="25" t="s">
        <v>30</v>
      </c>
      <c r="K1" s="28" t="s">
        <v>625</v>
      </c>
      <c r="L1" s="25" t="s">
        <v>711</v>
      </c>
    </row>
    <row r="2" spans="1:12" x14ac:dyDescent="0.25">
      <c r="A2" s="26" t="s">
        <v>31</v>
      </c>
      <c r="B2" s="26" t="s">
        <v>5</v>
      </c>
      <c r="C2" s="26" t="s">
        <v>16</v>
      </c>
      <c r="D2" s="26" t="s">
        <v>21</v>
      </c>
      <c r="E2" s="26" t="s">
        <v>627</v>
      </c>
      <c r="F2" s="26"/>
      <c r="G2" s="26" t="s">
        <v>32</v>
      </c>
      <c r="H2" s="26" t="s">
        <v>570</v>
      </c>
      <c r="I2" s="26">
        <v>0</v>
      </c>
      <c r="J2" s="26" t="s">
        <v>33</v>
      </c>
      <c r="K2" s="29">
        <f t="shared" ref="K2:K65" si="0">LEN(E2)</f>
        <v>3</v>
      </c>
      <c r="L2" s="27" t="s">
        <v>712</v>
      </c>
    </row>
    <row r="3" spans="1:12" x14ac:dyDescent="0.25">
      <c r="A3" s="26" t="s">
        <v>34</v>
      </c>
      <c r="B3" s="26" t="s">
        <v>35</v>
      </c>
      <c r="C3" s="26" t="s">
        <v>36</v>
      </c>
      <c r="D3" s="26" t="s">
        <v>21</v>
      </c>
      <c r="E3" s="26" t="s">
        <v>37</v>
      </c>
      <c r="F3" s="26"/>
      <c r="G3" s="26" t="s">
        <v>38</v>
      </c>
      <c r="H3" s="26" t="s">
        <v>582</v>
      </c>
      <c r="I3" s="26">
        <v>4</v>
      </c>
      <c r="J3" s="26"/>
      <c r="K3" s="29">
        <f t="shared" si="0"/>
        <v>4</v>
      </c>
      <c r="L3" s="27" t="s">
        <v>713</v>
      </c>
    </row>
    <row r="4" spans="1:12" x14ac:dyDescent="0.25">
      <c r="A4" s="26" t="s">
        <v>39</v>
      </c>
      <c r="B4" s="26" t="s">
        <v>5</v>
      </c>
      <c r="C4" s="26" t="s">
        <v>16</v>
      </c>
      <c r="D4" s="26" t="s">
        <v>21</v>
      </c>
      <c r="E4" s="26" t="s">
        <v>40</v>
      </c>
      <c r="G4" s="26" t="s">
        <v>41</v>
      </c>
      <c r="H4" s="26" t="s">
        <v>581</v>
      </c>
      <c r="I4" s="26">
        <v>5</v>
      </c>
      <c r="K4" s="29">
        <f t="shared" si="0"/>
        <v>4</v>
      </c>
      <c r="L4" s="26" t="s">
        <v>714</v>
      </c>
    </row>
    <row r="5" spans="1:12" x14ac:dyDescent="0.25">
      <c r="A5" s="26" t="s">
        <v>42</v>
      </c>
      <c r="B5" s="26" t="s">
        <v>5</v>
      </c>
      <c r="C5" s="26" t="s">
        <v>17</v>
      </c>
      <c r="D5" s="26" t="s">
        <v>6</v>
      </c>
      <c r="E5" s="26">
        <v>684</v>
      </c>
      <c r="F5" s="26" t="s">
        <v>43</v>
      </c>
      <c r="G5" s="26" t="s">
        <v>44</v>
      </c>
      <c r="H5" s="26" t="s">
        <v>580</v>
      </c>
      <c r="I5" s="26">
        <v>5</v>
      </c>
      <c r="J5" s="26" t="s">
        <v>45</v>
      </c>
      <c r="K5" s="29">
        <f t="shared" si="0"/>
        <v>3</v>
      </c>
      <c r="L5" s="26" t="s">
        <v>715</v>
      </c>
    </row>
    <row r="6" spans="1:12" x14ac:dyDescent="0.25">
      <c r="A6" s="26" t="s">
        <v>46</v>
      </c>
      <c r="B6" s="26" t="s">
        <v>35</v>
      </c>
      <c r="C6" s="26" t="s">
        <v>36</v>
      </c>
      <c r="D6" s="26" t="s">
        <v>21</v>
      </c>
      <c r="E6" s="26" t="s">
        <v>47</v>
      </c>
      <c r="G6" s="26" t="s">
        <v>48</v>
      </c>
      <c r="H6" s="26" t="s">
        <v>596</v>
      </c>
      <c r="I6" s="26">
        <v>5</v>
      </c>
      <c r="J6" s="26" t="s">
        <v>49</v>
      </c>
      <c r="K6" s="29">
        <f t="shared" si="0"/>
        <v>4</v>
      </c>
      <c r="L6" s="26" t="s">
        <v>716</v>
      </c>
    </row>
    <row r="7" spans="1:12" x14ac:dyDescent="0.25">
      <c r="A7" s="26" t="s">
        <v>50</v>
      </c>
      <c r="B7" s="26" t="s">
        <v>5</v>
      </c>
      <c r="C7" s="26" t="s">
        <v>16</v>
      </c>
      <c r="D7" s="26" t="s">
        <v>21</v>
      </c>
      <c r="E7" s="26" t="s">
        <v>51</v>
      </c>
      <c r="G7" s="26" t="s">
        <v>32</v>
      </c>
      <c r="H7" s="26" t="s">
        <v>570</v>
      </c>
      <c r="I7" s="26">
        <v>0</v>
      </c>
      <c r="J7" s="26" t="s">
        <v>33</v>
      </c>
      <c r="K7" s="29">
        <f t="shared" si="0"/>
        <v>4</v>
      </c>
      <c r="L7" s="26" t="s">
        <v>717</v>
      </c>
    </row>
    <row r="8" spans="1:12" x14ac:dyDescent="0.25">
      <c r="A8" s="26" t="s">
        <v>52</v>
      </c>
      <c r="B8" s="26" t="s">
        <v>53</v>
      </c>
      <c r="C8" s="26" t="s">
        <v>54</v>
      </c>
      <c r="D8" s="26" t="s">
        <v>21</v>
      </c>
      <c r="E8" s="26">
        <v>264</v>
      </c>
      <c r="F8" s="26" t="s">
        <v>43</v>
      </c>
      <c r="G8" s="26" t="s">
        <v>55</v>
      </c>
      <c r="H8" s="26" t="s">
        <v>572</v>
      </c>
      <c r="I8" s="26">
        <v>7</v>
      </c>
      <c r="J8" s="26" t="s">
        <v>45</v>
      </c>
      <c r="K8" s="29">
        <f t="shared" si="0"/>
        <v>3</v>
      </c>
      <c r="L8" s="26" t="s">
        <v>718</v>
      </c>
    </row>
    <row r="9" spans="1:12" x14ac:dyDescent="0.25">
      <c r="A9" s="26" t="s">
        <v>56</v>
      </c>
      <c r="B9" s="26" t="s">
        <v>5</v>
      </c>
      <c r="C9" s="26" t="s">
        <v>16</v>
      </c>
      <c r="D9" s="26" t="s">
        <v>21</v>
      </c>
      <c r="E9" s="26" t="s">
        <v>57</v>
      </c>
      <c r="G9" s="26" t="s">
        <v>32</v>
      </c>
      <c r="H9" s="26" t="s">
        <v>570</v>
      </c>
      <c r="I9" s="26">
        <v>0</v>
      </c>
      <c r="J9" s="26" t="s">
        <v>33</v>
      </c>
      <c r="K9" s="29">
        <f t="shared" si="0"/>
        <v>4</v>
      </c>
      <c r="L9" s="26" t="s">
        <v>719</v>
      </c>
    </row>
    <row r="10" spans="1:12" x14ac:dyDescent="0.25">
      <c r="A10" s="26" t="s">
        <v>58</v>
      </c>
      <c r="B10" s="26" t="s">
        <v>5</v>
      </c>
      <c r="C10" s="26" t="s">
        <v>16</v>
      </c>
      <c r="D10" s="26" t="s">
        <v>6</v>
      </c>
      <c r="E10" s="26">
        <v>268</v>
      </c>
      <c r="F10" s="26" t="s">
        <v>43</v>
      </c>
      <c r="G10" s="26" t="s">
        <v>32</v>
      </c>
      <c r="H10" s="26" t="s">
        <v>570</v>
      </c>
      <c r="I10" s="26">
        <v>0</v>
      </c>
      <c r="J10" s="26" t="s">
        <v>33</v>
      </c>
      <c r="K10" s="29">
        <f t="shared" si="0"/>
        <v>3</v>
      </c>
      <c r="L10" s="26" t="s">
        <v>720</v>
      </c>
    </row>
    <row r="11" spans="1:12" x14ac:dyDescent="0.25">
      <c r="A11" s="26" t="s">
        <v>59</v>
      </c>
      <c r="B11" s="26" t="s">
        <v>5</v>
      </c>
      <c r="C11" s="26" t="s">
        <v>16</v>
      </c>
      <c r="D11" s="26" t="s">
        <v>6</v>
      </c>
      <c r="E11" s="26" t="s">
        <v>628</v>
      </c>
      <c r="G11" s="26" t="s">
        <v>60</v>
      </c>
      <c r="H11" s="26" t="s">
        <v>624</v>
      </c>
      <c r="I11" s="26">
        <v>8</v>
      </c>
      <c r="J11" s="26" t="s">
        <v>61</v>
      </c>
      <c r="K11" s="29">
        <f t="shared" si="0"/>
        <v>3</v>
      </c>
    </row>
    <row r="12" spans="1:12" x14ac:dyDescent="0.25">
      <c r="A12" s="26" t="s">
        <v>62</v>
      </c>
      <c r="B12" s="26" t="s">
        <v>5</v>
      </c>
      <c r="C12" s="26" t="s">
        <v>16</v>
      </c>
      <c r="D12" s="26" t="s">
        <v>21</v>
      </c>
      <c r="E12" s="26" t="s">
        <v>63</v>
      </c>
      <c r="G12" s="26" t="s">
        <v>38</v>
      </c>
      <c r="H12" s="26" t="s">
        <v>582</v>
      </c>
      <c r="I12" s="26">
        <v>4</v>
      </c>
      <c r="K12" s="29">
        <f t="shared" si="0"/>
        <v>4</v>
      </c>
    </row>
    <row r="13" spans="1:12" x14ac:dyDescent="0.25">
      <c r="A13" s="26" t="s">
        <v>64</v>
      </c>
      <c r="B13" s="26" t="s">
        <v>35</v>
      </c>
      <c r="C13" s="26" t="s">
        <v>36</v>
      </c>
      <c r="D13" s="26" t="s">
        <v>21</v>
      </c>
      <c r="E13" s="26" t="s">
        <v>65</v>
      </c>
      <c r="G13" s="26" t="s">
        <v>32</v>
      </c>
      <c r="H13" s="26" t="s">
        <v>570</v>
      </c>
      <c r="I13" s="26">
        <v>0</v>
      </c>
      <c r="J13" s="26" t="s">
        <v>33</v>
      </c>
      <c r="K13" s="29">
        <f t="shared" si="0"/>
        <v>4</v>
      </c>
    </row>
    <row r="14" spans="1:12" x14ac:dyDescent="0.25">
      <c r="A14" s="26" t="s">
        <v>66</v>
      </c>
      <c r="B14" s="26" t="s">
        <v>67</v>
      </c>
      <c r="C14" s="26" t="s">
        <v>68</v>
      </c>
      <c r="D14" s="26" t="s">
        <v>21</v>
      </c>
      <c r="E14" s="26" t="s">
        <v>629</v>
      </c>
      <c r="G14" s="26">
        <v>9999</v>
      </c>
      <c r="H14" s="27" t="s">
        <v>589</v>
      </c>
      <c r="I14" s="26">
        <v>4</v>
      </c>
      <c r="K14" s="29">
        <f t="shared" si="0"/>
        <v>3</v>
      </c>
    </row>
    <row r="15" spans="1:12" x14ac:dyDescent="0.25">
      <c r="A15" s="26" t="s">
        <v>69</v>
      </c>
      <c r="B15" s="26" t="s">
        <v>35</v>
      </c>
      <c r="C15" s="26" t="s">
        <v>36</v>
      </c>
      <c r="D15" s="26" t="s">
        <v>21</v>
      </c>
      <c r="E15" s="26" t="s">
        <v>630</v>
      </c>
      <c r="G15" s="26">
        <v>9999</v>
      </c>
      <c r="H15" s="27" t="s">
        <v>589</v>
      </c>
      <c r="I15" s="26">
        <v>4</v>
      </c>
      <c r="K15" s="29">
        <f t="shared" si="0"/>
        <v>3</v>
      </c>
    </row>
    <row r="16" spans="1:12" x14ac:dyDescent="0.25">
      <c r="A16" s="26" t="s">
        <v>70</v>
      </c>
      <c r="B16" s="26" t="s">
        <v>5</v>
      </c>
      <c r="C16" s="26" t="s">
        <v>16</v>
      </c>
      <c r="D16" s="26" t="s">
        <v>21</v>
      </c>
      <c r="E16" s="26" t="s">
        <v>71</v>
      </c>
      <c r="G16" s="26" t="s">
        <v>72</v>
      </c>
      <c r="H16" s="26" t="s">
        <v>623</v>
      </c>
      <c r="I16" s="26">
        <v>6</v>
      </c>
      <c r="J16" s="26" t="s">
        <v>73</v>
      </c>
      <c r="K16" s="29">
        <f t="shared" si="0"/>
        <v>4</v>
      </c>
    </row>
    <row r="17" spans="1:11" x14ac:dyDescent="0.25">
      <c r="A17" s="26" t="s">
        <v>74</v>
      </c>
      <c r="B17" s="26" t="s">
        <v>5</v>
      </c>
      <c r="C17" s="26" t="s">
        <v>16</v>
      </c>
      <c r="D17" s="26" t="s">
        <v>6</v>
      </c>
      <c r="E17" s="26">
        <v>242</v>
      </c>
      <c r="F17" s="26" t="s">
        <v>43</v>
      </c>
      <c r="G17" s="26" t="s">
        <v>32</v>
      </c>
      <c r="H17" s="26" t="s">
        <v>570</v>
      </c>
      <c r="I17" s="26">
        <v>0</v>
      </c>
      <c r="J17" s="26" t="s">
        <v>33</v>
      </c>
      <c r="K17" s="29">
        <f t="shared" si="0"/>
        <v>3</v>
      </c>
    </row>
    <row r="18" spans="1:11" x14ac:dyDescent="0.25">
      <c r="A18" s="26" t="s">
        <v>75</v>
      </c>
      <c r="B18" s="26" t="s">
        <v>5</v>
      </c>
      <c r="C18" s="26" t="s">
        <v>16</v>
      </c>
      <c r="D18" s="26" t="s">
        <v>21</v>
      </c>
      <c r="E18" s="26" t="s">
        <v>76</v>
      </c>
      <c r="G18" s="26" t="s">
        <v>77</v>
      </c>
      <c r="H18" s="26" t="s">
        <v>585</v>
      </c>
      <c r="I18" s="26">
        <v>4</v>
      </c>
      <c r="K18" s="29">
        <f t="shared" si="0"/>
        <v>4</v>
      </c>
    </row>
    <row r="19" spans="1:11" x14ac:dyDescent="0.25">
      <c r="A19" s="26" t="s">
        <v>78</v>
      </c>
      <c r="B19" s="26" t="s">
        <v>5</v>
      </c>
      <c r="C19" s="26" t="s">
        <v>16</v>
      </c>
      <c r="D19" s="26" t="s">
        <v>21</v>
      </c>
      <c r="E19" s="26" t="s">
        <v>79</v>
      </c>
      <c r="G19" s="26" t="s">
        <v>38</v>
      </c>
      <c r="H19" s="26" t="s">
        <v>582</v>
      </c>
      <c r="I19" s="26">
        <v>4</v>
      </c>
      <c r="K19" s="29">
        <f t="shared" si="0"/>
        <v>4</v>
      </c>
    </row>
    <row r="20" spans="1:11" x14ac:dyDescent="0.25">
      <c r="A20" s="26" t="s">
        <v>80</v>
      </c>
      <c r="B20" s="26" t="s">
        <v>5</v>
      </c>
      <c r="C20" s="26" t="s">
        <v>16</v>
      </c>
      <c r="D20" s="26" t="s">
        <v>6</v>
      </c>
      <c r="E20" s="26">
        <v>246</v>
      </c>
      <c r="F20" s="26" t="s">
        <v>43</v>
      </c>
      <c r="G20" s="26" t="s">
        <v>81</v>
      </c>
      <c r="H20" s="26" t="s">
        <v>571</v>
      </c>
      <c r="I20" s="26">
        <v>7</v>
      </c>
      <c r="J20" s="26" t="s">
        <v>82</v>
      </c>
      <c r="K20" s="29">
        <f t="shared" si="0"/>
        <v>3</v>
      </c>
    </row>
    <row r="21" spans="1:11" x14ac:dyDescent="0.25">
      <c r="A21" s="26" t="s">
        <v>83</v>
      </c>
      <c r="B21" s="26" t="s">
        <v>5</v>
      </c>
      <c r="C21" s="26" t="s">
        <v>16</v>
      </c>
      <c r="D21" s="26" t="s">
        <v>21</v>
      </c>
      <c r="E21" s="26" t="s">
        <v>84</v>
      </c>
      <c r="G21" s="26" t="s">
        <v>85</v>
      </c>
      <c r="H21" s="26" t="s">
        <v>583</v>
      </c>
      <c r="I21" s="26">
        <v>6</v>
      </c>
      <c r="K21" s="29">
        <f t="shared" si="0"/>
        <v>4</v>
      </c>
    </row>
    <row r="22" spans="1:11" x14ac:dyDescent="0.25">
      <c r="A22" s="26" t="s">
        <v>86</v>
      </c>
      <c r="B22" s="26" t="s">
        <v>35</v>
      </c>
      <c r="C22" s="26" t="s">
        <v>36</v>
      </c>
      <c r="D22" s="26" t="s">
        <v>21</v>
      </c>
      <c r="E22" s="26" t="s">
        <v>631</v>
      </c>
      <c r="G22" s="26">
        <v>9999</v>
      </c>
      <c r="H22" s="27" t="s">
        <v>589</v>
      </c>
      <c r="I22" s="26">
        <v>4</v>
      </c>
      <c r="J22" s="26" t="s">
        <v>87</v>
      </c>
      <c r="K22" s="29">
        <f t="shared" si="0"/>
        <v>3</v>
      </c>
    </row>
    <row r="23" spans="1:11" x14ac:dyDescent="0.25">
      <c r="A23" s="26" t="s">
        <v>88</v>
      </c>
      <c r="B23" s="26" t="s">
        <v>5</v>
      </c>
      <c r="C23" s="26" t="s">
        <v>16</v>
      </c>
      <c r="D23" s="26" t="s">
        <v>6</v>
      </c>
      <c r="E23" s="26" t="s">
        <v>89</v>
      </c>
      <c r="G23" s="26" t="s">
        <v>32</v>
      </c>
      <c r="H23" s="26" t="s">
        <v>570</v>
      </c>
      <c r="I23" s="26">
        <v>0</v>
      </c>
      <c r="J23" s="26" t="s">
        <v>33</v>
      </c>
      <c r="K23" s="29">
        <f t="shared" si="0"/>
        <v>4</v>
      </c>
    </row>
    <row r="24" spans="1:11" x14ac:dyDescent="0.25">
      <c r="A24" s="26" t="s">
        <v>90</v>
      </c>
      <c r="B24" s="26" t="s">
        <v>5</v>
      </c>
      <c r="C24" s="26" t="s">
        <v>16</v>
      </c>
      <c r="D24" s="26" t="s">
        <v>21</v>
      </c>
      <c r="E24" s="26" t="s">
        <v>91</v>
      </c>
      <c r="G24" s="26" t="s">
        <v>32</v>
      </c>
      <c r="H24" s="26" t="s">
        <v>570</v>
      </c>
      <c r="I24" s="26">
        <v>0</v>
      </c>
      <c r="J24" s="26" t="s">
        <v>33</v>
      </c>
      <c r="K24" s="29">
        <f t="shared" si="0"/>
        <v>4</v>
      </c>
    </row>
    <row r="25" spans="1:11" x14ac:dyDescent="0.25">
      <c r="A25" s="26" t="s">
        <v>92</v>
      </c>
      <c r="B25" s="26" t="s">
        <v>53</v>
      </c>
      <c r="C25" s="26" t="s">
        <v>54</v>
      </c>
      <c r="D25" s="26" t="s">
        <v>21</v>
      </c>
      <c r="E25" s="26">
        <v>441</v>
      </c>
      <c r="F25" s="26" t="s">
        <v>43</v>
      </c>
      <c r="G25" s="26" t="s">
        <v>93</v>
      </c>
      <c r="H25" s="26" t="s">
        <v>576</v>
      </c>
      <c r="I25" s="26">
        <v>5</v>
      </c>
      <c r="J25" s="26" t="s">
        <v>94</v>
      </c>
      <c r="K25" s="29">
        <f t="shared" si="0"/>
        <v>3</v>
      </c>
    </row>
    <row r="26" spans="1:11" x14ac:dyDescent="0.25">
      <c r="A26" s="26" t="s">
        <v>95</v>
      </c>
      <c r="B26" s="26" t="s">
        <v>5</v>
      </c>
      <c r="C26" s="26" t="s">
        <v>16</v>
      </c>
      <c r="D26" s="26" t="s">
        <v>21</v>
      </c>
      <c r="E26" s="26" t="s">
        <v>96</v>
      </c>
      <c r="G26" s="26" t="s">
        <v>32</v>
      </c>
      <c r="H26" s="26" t="s">
        <v>570</v>
      </c>
      <c r="I26" s="26">
        <v>0</v>
      </c>
      <c r="J26" s="26" t="s">
        <v>33</v>
      </c>
      <c r="K26" s="29">
        <f t="shared" si="0"/>
        <v>4</v>
      </c>
    </row>
    <row r="27" spans="1:11" x14ac:dyDescent="0.25">
      <c r="A27" s="26" t="s">
        <v>97</v>
      </c>
      <c r="B27" s="26" t="s">
        <v>5</v>
      </c>
      <c r="C27" s="26" t="s">
        <v>16</v>
      </c>
      <c r="D27" s="26" t="s">
        <v>6</v>
      </c>
      <c r="E27" s="26" t="s">
        <v>98</v>
      </c>
      <c r="G27" s="26" t="s">
        <v>32</v>
      </c>
      <c r="H27" s="26" t="s">
        <v>570</v>
      </c>
      <c r="I27" s="26">
        <v>0</v>
      </c>
      <c r="J27" s="26" t="s">
        <v>33</v>
      </c>
      <c r="K27" s="29">
        <f t="shared" si="0"/>
        <v>4</v>
      </c>
    </row>
    <row r="28" spans="1:11" x14ac:dyDescent="0.25">
      <c r="A28" s="26" t="s">
        <v>99</v>
      </c>
      <c r="B28" s="26" t="s">
        <v>35</v>
      </c>
      <c r="C28" s="26" t="s">
        <v>36</v>
      </c>
      <c r="D28" s="26" t="s">
        <v>21</v>
      </c>
      <c r="E28" s="26" t="s">
        <v>100</v>
      </c>
      <c r="G28" s="26" t="s">
        <v>32</v>
      </c>
      <c r="H28" s="26" t="s">
        <v>570</v>
      </c>
      <c r="I28" s="26">
        <v>0</v>
      </c>
      <c r="J28" s="26" t="s">
        <v>33</v>
      </c>
      <c r="K28" s="29">
        <f t="shared" si="0"/>
        <v>4</v>
      </c>
    </row>
    <row r="29" spans="1:11" x14ac:dyDescent="0.25">
      <c r="A29" s="26" t="s">
        <v>101</v>
      </c>
      <c r="B29" s="26" t="s">
        <v>35</v>
      </c>
      <c r="C29" s="26" t="s">
        <v>36</v>
      </c>
      <c r="D29" s="26" t="s">
        <v>21</v>
      </c>
      <c r="E29" s="26" t="s">
        <v>102</v>
      </c>
      <c r="G29" s="26" t="s">
        <v>41</v>
      </c>
      <c r="H29" s="26" t="s">
        <v>581</v>
      </c>
      <c r="I29" s="26">
        <v>5</v>
      </c>
      <c r="K29" s="29">
        <f t="shared" si="0"/>
        <v>4</v>
      </c>
    </row>
    <row r="30" spans="1:11" x14ac:dyDescent="0.25">
      <c r="A30" s="26" t="s">
        <v>103</v>
      </c>
      <c r="B30" s="26" t="s">
        <v>5</v>
      </c>
      <c r="C30" s="26" t="s">
        <v>16</v>
      </c>
      <c r="D30" s="26" t="s">
        <v>21</v>
      </c>
      <c r="E30" s="26" t="s">
        <v>104</v>
      </c>
      <c r="G30" s="26" t="s">
        <v>32</v>
      </c>
      <c r="H30" s="26" t="s">
        <v>570</v>
      </c>
      <c r="I30" s="26">
        <v>0</v>
      </c>
      <c r="J30" s="26" t="s">
        <v>33</v>
      </c>
      <c r="K30" s="29">
        <f t="shared" si="0"/>
        <v>4</v>
      </c>
    </row>
    <row r="31" spans="1:11" x14ac:dyDescent="0.25">
      <c r="A31" s="26" t="s">
        <v>12</v>
      </c>
      <c r="B31" s="26" t="s">
        <v>13</v>
      </c>
      <c r="C31" s="26" t="s">
        <v>14</v>
      </c>
      <c r="D31" s="26" t="s">
        <v>105</v>
      </c>
      <c r="E31" s="26" t="s">
        <v>632</v>
      </c>
      <c r="G31" s="26" t="s">
        <v>106</v>
      </c>
      <c r="H31" s="26" t="s">
        <v>609</v>
      </c>
      <c r="I31" s="26">
        <v>9</v>
      </c>
      <c r="J31" s="26" t="s">
        <v>107</v>
      </c>
      <c r="K31" s="29">
        <v>3</v>
      </c>
    </row>
    <row r="32" spans="1:11" x14ac:dyDescent="0.25">
      <c r="A32" s="26" t="s">
        <v>108</v>
      </c>
      <c r="B32" s="26" t="s">
        <v>53</v>
      </c>
      <c r="C32" s="26" t="s">
        <v>54</v>
      </c>
      <c r="D32" s="26" t="s">
        <v>21</v>
      </c>
      <c r="E32" s="26" t="s">
        <v>109</v>
      </c>
      <c r="G32" s="26" t="s">
        <v>110</v>
      </c>
      <c r="H32" s="26" t="s">
        <v>584</v>
      </c>
      <c r="I32" s="26">
        <v>8</v>
      </c>
      <c r="J32" s="26" t="s">
        <v>45</v>
      </c>
      <c r="K32" s="29">
        <f t="shared" si="0"/>
        <v>4</v>
      </c>
    </row>
    <row r="33" spans="1:11" x14ac:dyDescent="0.25">
      <c r="A33" s="26" t="s">
        <v>111</v>
      </c>
      <c r="B33" s="26" t="s">
        <v>5</v>
      </c>
      <c r="C33" s="26" t="s">
        <v>16</v>
      </c>
      <c r="D33" s="26" t="s">
        <v>21</v>
      </c>
      <c r="E33" s="26" t="s">
        <v>112</v>
      </c>
      <c r="G33" s="26" t="s">
        <v>113</v>
      </c>
      <c r="H33" s="26" t="s">
        <v>611</v>
      </c>
      <c r="I33" s="26">
        <v>6</v>
      </c>
      <c r="K33" s="29">
        <f t="shared" si="0"/>
        <v>4</v>
      </c>
    </row>
    <row r="34" spans="1:11" x14ac:dyDescent="0.25">
      <c r="A34" s="26" t="s">
        <v>114</v>
      </c>
      <c r="B34" s="26" t="s">
        <v>35</v>
      </c>
      <c r="C34" s="26" t="s">
        <v>36</v>
      </c>
      <c r="D34" s="26" t="s">
        <v>21</v>
      </c>
      <c r="E34" s="26" t="s">
        <v>115</v>
      </c>
      <c r="G34" s="26" t="s">
        <v>38</v>
      </c>
      <c r="H34" s="26" t="s">
        <v>582</v>
      </c>
      <c r="I34" s="26">
        <v>4</v>
      </c>
      <c r="K34" s="29">
        <f t="shared" si="0"/>
        <v>4</v>
      </c>
    </row>
    <row r="35" spans="1:11" x14ac:dyDescent="0.25">
      <c r="A35" s="26" t="s">
        <v>116</v>
      </c>
      <c r="B35" s="26" t="s">
        <v>5</v>
      </c>
      <c r="C35" s="26" t="s">
        <v>16</v>
      </c>
      <c r="D35" s="26" t="s">
        <v>21</v>
      </c>
      <c r="E35" s="26" t="s">
        <v>117</v>
      </c>
      <c r="G35" s="26" t="s">
        <v>32</v>
      </c>
      <c r="H35" s="26" t="s">
        <v>570</v>
      </c>
      <c r="I35" s="26">
        <v>0</v>
      </c>
      <c r="J35" s="26" t="s">
        <v>33</v>
      </c>
      <c r="K35" s="29">
        <f t="shared" si="0"/>
        <v>4</v>
      </c>
    </row>
    <row r="36" spans="1:11" x14ac:dyDescent="0.25">
      <c r="A36" s="26" t="s">
        <v>118</v>
      </c>
      <c r="B36" s="26" t="s">
        <v>5</v>
      </c>
      <c r="C36" s="26" t="s">
        <v>16</v>
      </c>
      <c r="D36" s="26" t="s">
        <v>21</v>
      </c>
      <c r="E36" s="26" t="s">
        <v>119</v>
      </c>
      <c r="G36" s="26" t="s">
        <v>32</v>
      </c>
      <c r="H36" s="26" t="s">
        <v>570</v>
      </c>
      <c r="I36" s="26">
        <v>0</v>
      </c>
      <c r="J36" s="26" t="s">
        <v>33</v>
      </c>
      <c r="K36" s="29">
        <f t="shared" si="0"/>
        <v>4</v>
      </c>
    </row>
    <row r="37" spans="1:11" x14ac:dyDescent="0.25">
      <c r="A37" s="26" t="s">
        <v>120</v>
      </c>
      <c r="B37" s="26" t="s">
        <v>5</v>
      </c>
      <c r="C37" s="26" t="s">
        <v>16</v>
      </c>
      <c r="D37" s="26" t="s">
        <v>21</v>
      </c>
      <c r="E37" s="26" t="s">
        <v>121</v>
      </c>
      <c r="G37" s="26" t="s">
        <v>41</v>
      </c>
      <c r="H37" s="26" t="s">
        <v>581</v>
      </c>
      <c r="I37" s="26">
        <v>5</v>
      </c>
      <c r="K37" s="29">
        <f t="shared" si="0"/>
        <v>4</v>
      </c>
    </row>
    <row r="38" spans="1:11" x14ac:dyDescent="0.25">
      <c r="A38" s="26" t="s">
        <v>122</v>
      </c>
      <c r="B38" s="26" t="s">
        <v>5</v>
      </c>
      <c r="C38" s="26" t="s">
        <v>16</v>
      </c>
      <c r="D38" s="26" t="s">
        <v>21</v>
      </c>
      <c r="E38" s="26" t="s">
        <v>123</v>
      </c>
      <c r="G38" s="26" t="s">
        <v>32</v>
      </c>
      <c r="H38" s="26" t="s">
        <v>570</v>
      </c>
      <c r="I38" s="26">
        <v>0</v>
      </c>
      <c r="J38" s="26" t="s">
        <v>33</v>
      </c>
      <c r="K38" s="29">
        <f t="shared" si="0"/>
        <v>4</v>
      </c>
    </row>
    <row r="39" spans="1:11" x14ac:dyDescent="0.25">
      <c r="A39" s="26" t="s">
        <v>124</v>
      </c>
      <c r="B39" s="26" t="s">
        <v>125</v>
      </c>
      <c r="C39" s="26" t="s">
        <v>126</v>
      </c>
      <c r="D39" s="26" t="s">
        <v>127</v>
      </c>
      <c r="E39" s="26" t="s">
        <v>128</v>
      </c>
      <c r="F39" s="26" t="s">
        <v>43</v>
      </c>
      <c r="G39" s="26" t="s">
        <v>129</v>
      </c>
      <c r="H39" s="26" t="s">
        <v>569</v>
      </c>
      <c r="I39" s="26">
        <v>7</v>
      </c>
      <c r="K39" s="29">
        <f t="shared" si="0"/>
        <v>2</v>
      </c>
    </row>
    <row r="40" spans="1:11" x14ac:dyDescent="0.25">
      <c r="A40" s="26" t="s">
        <v>130</v>
      </c>
      <c r="B40" s="26" t="s">
        <v>35</v>
      </c>
      <c r="C40" s="26" t="s">
        <v>36</v>
      </c>
      <c r="D40" s="26" t="s">
        <v>21</v>
      </c>
      <c r="E40" s="26" t="s">
        <v>131</v>
      </c>
      <c r="G40" s="26" t="s">
        <v>38</v>
      </c>
      <c r="H40" s="26" t="s">
        <v>582</v>
      </c>
      <c r="I40" s="26">
        <v>4</v>
      </c>
      <c r="K40" s="29">
        <f t="shared" si="0"/>
        <v>4</v>
      </c>
    </row>
    <row r="41" spans="1:11" x14ac:dyDescent="0.25">
      <c r="A41" s="26" t="s">
        <v>132</v>
      </c>
      <c r="B41" s="26" t="s">
        <v>53</v>
      </c>
      <c r="C41" s="26" t="s">
        <v>54</v>
      </c>
      <c r="D41" s="26" t="s">
        <v>21</v>
      </c>
      <c r="E41" s="26">
        <v>345</v>
      </c>
      <c r="F41" s="26" t="s">
        <v>43</v>
      </c>
      <c r="G41" s="26" t="s">
        <v>133</v>
      </c>
      <c r="H41" s="26" t="s">
        <v>575</v>
      </c>
      <c r="I41" s="26">
        <v>8</v>
      </c>
      <c r="J41" s="26" t="s">
        <v>134</v>
      </c>
      <c r="K41" s="29">
        <f t="shared" si="0"/>
        <v>3</v>
      </c>
    </row>
    <row r="42" spans="1:11" x14ac:dyDescent="0.25">
      <c r="A42" s="26" t="s">
        <v>135</v>
      </c>
      <c r="B42" s="26" t="s">
        <v>5</v>
      </c>
      <c r="C42" s="26" t="s">
        <v>16</v>
      </c>
      <c r="D42" s="26" t="s">
        <v>21</v>
      </c>
      <c r="E42" s="26" t="s">
        <v>136</v>
      </c>
      <c r="G42" s="26" t="s">
        <v>32</v>
      </c>
      <c r="H42" s="26" t="s">
        <v>570</v>
      </c>
      <c r="I42" s="26">
        <v>0</v>
      </c>
      <c r="J42" s="26" t="s">
        <v>33</v>
      </c>
      <c r="K42" s="29">
        <f t="shared" si="0"/>
        <v>4</v>
      </c>
    </row>
    <row r="43" spans="1:11" x14ac:dyDescent="0.25">
      <c r="A43" s="26" t="s">
        <v>137</v>
      </c>
      <c r="B43" s="26" t="s">
        <v>5</v>
      </c>
      <c r="C43" s="26" t="s">
        <v>16</v>
      </c>
      <c r="D43" s="26" t="s">
        <v>21</v>
      </c>
      <c r="E43" s="26" t="s">
        <v>138</v>
      </c>
      <c r="G43" s="26" t="s">
        <v>32</v>
      </c>
      <c r="H43" s="26" t="s">
        <v>570</v>
      </c>
      <c r="I43" s="26">
        <v>0</v>
      </c>
      <c r="J43" s="26" t="s">
        <v>33</v>
      </c>
      <c r="K43" s="29">
        <f t="shared" si="0"/>
        <v>4</v>
      </c>
    </row>
    <row r="44" spans="1:11" x14ac:dyDescent="0.25">
      <c r="A44" s="26" t="s">
        <v>139</v>
      </c>
      <c r="B44" s="26" t="s">
        <v>5</v>
      </c>
      <c r="C44" s="26" t="s">
        <v>16</v>
      </c>
      <c r="D44" s="26" t="s">
        <v>6</v>
      </c>
      <c r="E44" s="26" t="s">
        <v>633</v>
      </c>
      <c r="G44" s="26" t="s">
        <v>140</v>
      </c>
      <c r="H44" s="26" t="s">
        <v>610</v>
      </c>
      <c r="I44" s="26">
        <v>7</v>
      </c>
      <c r="K44" s="29">
        <f t="shared" si="0"/>
        <v>3</v>
      </c>
    </row>
    <row r="45" spans="1:11" x14ac:dyDescent="0.25">
      <c r="A45" s="26" t="s">
        <v>141</v>
      </c>
      <c r="B45" s="26" t="s">
        <v>142</v>
      </c>
      <c r="C45" s="26" t="s">
        <v>143</v>
      </c>
      <c r="D45" s="26" t="s">
        <v>144</v>
      </c>
      <c r="E45" s="26" t="s">
        <v>634</v>
      </c>
      <c r="G45" s="26" t="s">
        <v>85</v>
      </c>
      <c r="H45" s="26" t="s">
        <v>583</v>
      </c>
      <c r="I45" s="26">
        <v>6</v>
      </c>
      <c r="J45" s="26" t="s">
        <v>145</v>
      </c>
      <c r="K45" s="29">
        <f t="shared" si="0"/>
        <v>3</v>
      </c>
    </row>
    <row r="46" spans="1:11" x14ac:dyDescent="0.25">
      <c r="A46" s="26" t="s">
        <v>146</v>
      </c>
      <c r="B46" s="26" t="s">
        <v>67</v>
      </c>
      <c r="C46" s="26" t="s">
        <v>68</v>
      </c>
      <c r="D46" s="26" t="s">
        <v>21</v>
      </c>
      <c r="E46" s="26" t="s">
        <v>629</v>
      </c>
      <c r="G46" s="26">
        <v>9999</v>
      </c>
      <c r="H46" s="27" t="s">
        <v>589</v>
      </c>
      <c r="I46" s="26">
        <v>4</v>
      </c>
      <c r="K46" s="29">
        <f t="shared" si="0"/>
        <v>3</v>
      </c>
    </row>
    <row r="47" spans="1:11" x14ac:dyDescent="0.25">
      <c r="A47" s="26" t="s">
        <v>147</v>
      </c>
      <c r="B47" s="26" t="s">
        <v>67</v>
      </c>
      <c r="C47" s="26" t="s">
        <v>68</v>
      </c>
      <c r="D47" s="26" t="s">
        <v>21</v>
      </c>
      <c r="E47" s="26" t="s">
        <v>629</v>
      </c>
      <c r="G47" s="26">
        <v>9999</v>
      </c>
      <c r="H47" s="27" t="s">
        <v>589</v>
      </c>
      <c r="I47" s="26">
        <v>4</v>
      </c>
      <c r="K47" s="29">
        <f t="shared" si="0"/>
        <v>3</v>
      </c>
    </row>
    <row r="48" spans="1:11" x14ac:dyDescent="0.25">
      <c r="A48" s="26" t="s">
        <v>148</v>
      </c>
      <c r="B48" s="26" t="s">
        <v>5</v>
      </c>
      <c r="C48" s="26" t="s">
        <v>16</v>
      </c>
      <c r="D48" s="26" t="s">
        <v>6</v>
      </c>
      <c r="E48" s="26" t="s">
        <v>635</v>
      </c>
      <c r="G48" s="26" t="s">
        <v>85</v>
      </c>
      <c r="H48" s="26" t="s">
        <v>583</v>
      </c>
      <c r="I48" s="26">
        <v>6</v>
      </c>
      <c r="K48" s="29">
        <f t="shared" si="0"/>
        <v>3</v>
      </c>
    </row>
    <row r="49" spans="1:11" x14ac:dyDescent="0.25">
      <c r="A49" s="26" t="s">
        <v>149</v>
      </c>
      <c r="B49" s="26" t="s">
        <v>5</v>
      </c>
      <c r="C49" s="26" t="s">
        <v>16</v>
      </c>
      <c r="D49" s="26" t="s">
        <v>21</v>
      </c>
      <c r="E49" s="26" t="s">
        <v>150</v>
      </c>
      <c r="G49" s="26" t="s">
        <v>32</v>
      </c>
      <c r="H49" s="26" t="s">
        <v>570</v>
      </c>
      <c r="I49" s="26">
        <v>0</v>
      </c>
      <c r="J49" s="26" t="s">
        <v>33</v>
      </c>
      <c r="K49" s="29">
        <f t="shared" si="0"/>
        <v>4</v>
      </c>
    </row>
    <row r="50" spans="1:11" x14ac:dyDescent="0.25">
      <c r="A50" s="26" t="s">
        <v>151</v>
      </c>
      <c r="B50" s="26" t="s">
        <v>5</v>
      </c>
      <c r="C50" s="26" t="s">
        <v>16</v>
      </c>
      <c r="D50" s="26" t="s">
        <v>21</v>
      </c>
      <c r="E50" s="26" t="s">
        <v>152</v>
      </c>
      <c r="G50" s="26" t="s">
        <v>32</v>
      </c>
      <c r="H50" s="26" t="s">
        <v>570</v>
      </c>
      <c r="I50" s="26">
        <v>0</v>
      </c>
      <c r="J50" s="26" t="s">
        <v>33</v>
      </c>
      <c r="K50" s="29">
        <f t="shared" si="0"/>
        <v>4</v>
      </c>
    </row>
    <row r="51" spans="1:11" x14ac:dyDescent="0.25">
      <c r="A51" s="26" t="s">
        <v>153</v>
      </c>
      <c r="B51" s="26" t="s">
        <v>154</v>
      </c>
      <c r="C51" s="26" t="s">
        <v>155</v>
      </c>
      <c r="D51" s="26" t="s">
        <v>21</v>
      </c>
      <c r="E51" s="26" t="s">
        <v>156</v>
      </c>
      <c r="G51" s="26" t="s">
        <v>32</v>
      </c>
      <c r="H51" s="26" t="s">
        <v>570</v>
      </c>
      <c r="I51" s="26">
        <v>0</v>
      </c>
      <c r="J51" s="26" t="s">
        <v>33</v>
      </c>
      <c r="K51" s="29">
        <f t="shared" si="0"/>
        <v>4</v>
      </c>
    </row>
    <row r="52" spans="1:11" x14ac:dyDescent="0.25">
      <c r="A52" s="26" t="s">
        <v>157</v>
      </c>
      <c r="B52" s="26" t="s">
        <v>5</v>
      </c>
      <c r="C52" s="26" t="s">
        <v>16</v>
      </c>
      <c r="D52" s="26" t="s">
        <v>6</v>
      </c>
      <c r="E52" s="26" t="s">
        <v>158</v>
      </c>
      <c r="G52" s="26" t="s">
        <v>159</v>
      </c>
      <c r="H52" s="26" t="s">
        <v>607</v>
      </c>
      <c r="I52" s="26">
        <v>5</v>
      </c>
      <c r="J52" s="26" t="s">
        <v>160</v>
      </c>
      <c r="K52" s="29">
        <f t="shared" si="0"/>
        <v>4</v>
      </c>
    </row>
    <row r="53" spans="1:11" x14ac:dyDescent="0.25">
      <c r="A53" s="26" t="s">
        <v>161</v>
      </c>
      <c r="B53" s="26" t="s">
        <v>5</v>
      </c>
      <c r="C53" s="26" t="s">
        <v>16</v>
      </c>
      <c r="D53" s="26" t="s">
        <v>21</v>
      </c>
      <c r="E53" s="26" t="s">
        <v>162</v>
      </c>
      <c r="G53" s="26" t="s">
        <v>32</v>
      </c>
      <c r="H53" s="26" t="s">
        <v>570</v>
      </c>
      <c r="I53" s="26">
        <v>0</v>
      </c>
      <c r="J53" s="26" t="s">
        <v>33</v>
      </c>
      <c r="K53" s="29">
        <f t="shared" si="0"/>
        <v>4</v>
      </c>
    </row>
    <row r="54" spans="1:11" x14ac:dyDescent="0.25">
      <c r="A54" s="26" t="s">
        <v>163</v>
      </c>
      <c r="B54" s="26" t="s">
        <v>35</v>
      </c>
      <c r="C54" s="26" t="s">
        <v>36</v>
      </c>
      <c r="D54" s="26" t="s">
        <v>21</v>
      </c>
      <c r="E54" s="26" t="s">
        <v>164</v>
      </c>
      <c r="G54" s="26" t="s">
        <v>41</v>
      </c>
      <c r="H54" s="26" t="s">
        <v>581</v>
      </c>
      <c r="I54" s="26">
        <v>5</v>
      </c>
      <c r="K54" s="29">
        <f t="shared" si="0"/>
        <v>4</v>
      </c>
    </row>
    <row r="55" spans="1:11" x14ac:dyDescent="0.25">
      <c r="A55" s="26" t="s">
        <v>165</v>
      </c>
      <c r="E55" s="26" t="s">
        <v>636</v>
      </c>
      <c r="G55" s="26" t="s">
        <v>41</v>
      </c>
      <c r="H55" s="26" t="s">
        <v>581</v>
      </c>
      <c r="I55" s="26">
        <v>5</v>
      </c>
      <c r="J55" s="26" t="s">
        <v>166</v>
      </c>
      <c r="K55" s="29">
        <f t="shared" si="0"/>
        <v>3</v>
      </c>
    </row>
    <row r="56" spans="1:11" x14ac:dyDescent="0.25">
      <c r="A56" s="26" t="s">
        <v>167</v>
      </c>
      <c r="B56" s="26" t="s">
        <v>35</v>
      </c>
      <c r="C56" s="26" t="s">
        <v>36</v>
      </c>
      <c r="D56" s="26" t="s">
        <v>21</v>
      </c>
      <c r="E56" s="26" t="s">
        <v>100</v>
      </c>
      <c r="G56" s="26" t="s">
        <v>32</v>
      </c>
      <c r="H56" s="26" t="s">
        <v>570</v>
      </c>
      <c r="I56" s="26">
        <v>0</v>
      </c>
      <c r="J56" s="26" t="s">
        <v>33</v>
      </c>
      <c r="K56" s="29">
        <f t="shared" si="0"/>
        <v>4</v>
      </c>
    </row>
    <row r="57" spans="1:11" x14ac:dyDescent="0.25">
      <c r="A57" s="26" t="s">
        <v>168</v>
      </c>
      <c r="B57" s="26" t="s">
        <v>35</v>
      </c>
      <c r="C57" s="26" t="s">
        <v>36</v>
      </c>
      <c r="D57" s="26" t="s">
        <v>21</v>
      </c>
      <c r="E57" s="26" t="s">
        <v>169</v>
      </c>
      <c r="G57" s="26">
        <v>9999</v>
      </c>
      <c r="H57" s="27" t="s">
        <v>589</v>
      </c>
      <c r="I57" s="26">
        <v>4</v>
      </c>
      <c r="J57" s="26" t="s">
        <v>170</v>
      </c>
      <c r="K57" s="29">
        <f t="shared" si="0"/>
        <v>4</v>
      </c>
    </row>
    <row r="58" spans="1:11" x14ac:dyDescent="0.25">
      <c r="A58" s="26" t="s">
        <v>171</v>
      </c>
      <c r="B58" s="26" t="s">
        <v>35</v>
      </c>
      <c r="C58" s="26" t="s">
        <v>36</v>
      </c>
      <c r="D58" s="26" t="s">
        <v>21</v>
      </c>
      <c r="E58" s="26" t="s">
        <v>172</v>
      </c>
      <c r="G58" s="26" t="s">
        <v>173</v>
      </c>
      <c r="H58" s="26" t="s">
        <v>599</v>
      </c>
      <c r="I58" s="26">
        <v>6</v>
      </c>
      <c r="K58" s="29">
        <f t="shared" si="0"/>
        <v>4</v>
      </c>
    </row>
    <row r="59" spans="1:11" x14ac:dyDescent="0.25">
      <c r="A59" s="26" t="s">
        <v>174</v>
      </c>
      <c r="B59" s="26" t="s">
        <v>5</v>
      </c>
      <c r="C59" s="26" t="s">
        <v>16</v>
      </c>
      <c r="D59" s="26" t="s">
        <v>21</v>
      </c>
      <c r="E59" s="26" t="s">
        <v>175</v>
      </c>
      <c r="G59" s="26" t="s">
        <v>32</v>
      </c>
      <c r="H59" s="26" t="s">
        <v>570</v>
      </c>
      <c r="I59" s="26">
        <v>0</v>
      </c>
      <c r="J59" s="26" t="s">
        <v>33</v>
      </c>
      <c r="K59" s="29">
        <f t="shared" si="0"/>
        <v>4</v>
      </c>
    </row>
    <row r="60" spans="1:11" x14ac:dyDescent="0.25">
      <c r="A60" s="26" t="s">
        <v>176</v>
      </c>
      <c r="B60" s="26" t="s">
        <v>177</v>
      </c>
      <c r="C60" s="26" t="s">
        <v>178</v>
      </c>
      <c r="D60" s="26" t="s">
        <v>21</v>
      </c>
      <c r="E60" s="26" t="s">
        <v>637</v>
      </c>
      <c r="G60" s="26">
        <v>9999</v>
      </c>
      <c r="H60" s="27" t="s">
        <v>589</v>
      </c>
      <c r="I60" s="26">
        <v>4</v>
      </c>
      <c r="K60" s="29">
        <f t="shared" si="0"/>
        <v>3</v>
      </c>
    </row>
    <row r="61" spans="1:11" x14ac:dyDescent="0.25">
      <c r="A61" s="26" t="s">
        <v>179</v>
      </c>
      <c r="B61" s="26" t="s">
        <v>5</v>
      </c>
      <c r="C61" s="26" t="s">
        <v>16</v>
      </c>
      <c r="D61" s="26" t="s">
        <v>21</v>
      </c>
      <c r="E61" s="26" t="s">
        <v>180</v>
      </c>
      <c r="G61" s="26" t="s">
        <v>32</v>
      </c>
      <c r="H61" s="26" t="s">
        <v>570</v>
      </c>
      <c r="I61" s="26">
        <v>0</v>
      </c>
      <c r="J61" s="26" t="s">
        <v>33</v>
      </c>
      <c r="K61" s="29">
        <f t="shared" si="0"/>
        <v>4</v>
      </c>
    </row>
    <row r="62" spans="1:11" x14ac:dyDescent="0.25">
      <c r="A62" s="26" t="s">
        <v>181</v>
      </c>
      <c r="B62" s="26" t="s">
        <v>5</v>
      </c>
      <c r="C62" s="26" t="s">
        <v>16</v>
      </c>
      <c r="D62" s="26" t="s">
        <v>6</v>
      </c>
      <c r="E62" s="26">
        <v>767</v>
      </c>
      <c r="F62" s="26" t="s">
        <v>43</v>
      </c>
      <c r="G62" s="26" t="s">
        <v>32</v>
      </c>
      <c r="H62" s="26" t="s">
        <v>570</v>
      </c>
      <c r="I62" s="26">
        <v>0</v>
      </c>
      <c r="J62" s="26" t="s">
        <v>33</v>
      </c>
      <c r="K62" s="29">
        <f t="shared" si="0"/>
        <v>3</v>
      </c>
    </row>
    <row r="63" spans="1:11" x14ac:dyDescent="0.25">
      <c r="A63" s="26" t="s">
        <v>182</v>
      </c>
      <c r="B63" s="26" t="s">
        <v>5</v>
      </c>
      <c r="C63" s="26" t="s">
        <v>16</v>
      </c>
      <c r="D63" s="26" t="s">
        <v>6</v>
      </c>
      <c r="E63" s="26" t="s">
        <v>709</v>
      </c>
      <c r="F63" s="26" t="s">
        <v>43</v>
      </c>
      <c r="G63" s="26" t="s">
        <v>41</v>
      </c>
      <c r="H63" s="26" t="s">
        <v>581</v>
      </c>
      <c r="I63" s="26">
        <v>5</v>
      </c>
      <c r="K63" s="29">
        <f t="shared" si="0"/>
        <v>10</v>
      </c>
    </row>
    <row r="64" spans="1:11" x14ac:dyDescent="0.25">
      <c r="A64" s="26" t="s">
        <v>183</v>
      </c>
      <c r="B64" s="26" t="s">
        <v>5</v>
      </c>
      <c r="C64" s="26" t="s">
        <v>16</v>
      </c>
      <c r="D64" s="26" t="s">
        <v>6</v>
      </c>
      <c r="E64" s="26" t="s">
        <v>184</v>
      </c>
      <c r="G64" s="26" t="s">
        <v>85</v>
      </c>
      <c r="H64" s="26" t="s">
        <v>583</v>
      </c>
      <c r="I64" s="26">
        <v>6</v>
      </c>
      <c r="K64" s="29">
        <f t="shared" si="0"/>
        <v>4</v>
      </c>
    </row>
    <row r="65" spans="1:11" x14ac:dyDescent="0.25">
      <c r="A65" s="26" t="s">
        <v>185</v>
      </c>
      <c r="B65" s="26" t="s">
        <v>5</v>
      </c>
      <c r="C65" s="26" t="s">
        <v>16</v>
      </c>
      <c r="D65" s="26" t="s">
        <v>21</v>
      </c>
      <c r="E65" s="26" t="s">
        <v>638</v>
      </c>
      <c r="G65" s="26" t="s">
        <v>41</v>
      </c>
      <c r="H65" s="26" t="s">
        <v>581</v>
      </c>
      <c r="I65" s="26">
        <v>5</v>
      </c>
      <c r="K65" s="29">
        <f t="shared" si="0"/>
        <v>3</v>
      </c>
    </row>
    <row r="66" spans="1:11" x14ac:dyDescent="0.25">
      <c r="A66" s="26" t="s">
        <v>186</v>
      </c>
      <c r="B66" s="26" t="s">
        <v>5</v>
      </c>
      <c r="C66" s="26" t="s">
        <v>16</v>
      </c>
      <c r="D66" s="26" t="s">
        <v>6</v>
      </c>
      <c r="E66" s="26" t="s">
        <v>187</v>
      </c>
      <c r="G66" s="26" t="s">
        <v>38</v>
      </c>
      <c r="H66" s="26" t="s">
        <v>582</v>
      </c>
      <c r="I66" s="26">
        <v>4</v>
      </c>
      <c r="K66" s="29">
        <f t="shared" ref="K66:K129" si="1">LEN(E66)</f>
        <v>4</v>
      </c>
    </row>
    <row r="67" spans="1:11" x14ac:dyDescent="0.25">
      <c r="A67" s="26" t="s">
        <v>188</v>
      </c>
      <c r="B67" s="26" t="s">
        <v>5</v>
      </c>
      <c r="C67" s="26" t="s">
        <v>16</v>
      </c>
      <c r="D67" s="26" t="s">
        <v>21</v>
      </c>
      <c r="E67" s="26" t="s">
        <v>189</v>
      </c>
      <c r="G67" s="26" t="s">
        <v>32</v>
      </c>
      <c r="H67" s="26" t="s">
        <v>570</v>
      </c>
      <c r="I67" s="26">
        <v>0</v>
      </c>
      <c r="J67" s="26" t="s">
        <v>33</v>
      </c>
      <c r="K67" s="29">
        <f t="shared" si="1"/>
        <v>4</v>
      </c>
    </row>
    <row r="68" spans="1:11" x14ac:dyDescent="0.25">
      <c r="A68" s="26" t="s">
        <v>190</v>
      </c>
      <c r="B68" s="26" t="s">
        <v>5</v>
      </c>
      <c r="C68" s="26" t="s">
        <v>16</v>
      </c>
      <c r="D68" s="26" t="s">
        <v>21</v>
      </c>
      <c r="E68" s="26" t="s">
        <v>191</v>
      </c>
      <c r="G68" s="26" t="s">
        <v>32</v>
      </c>
      <c r="H68" s="26" t="s">
        <v>570</v>
      </c>
      <c r="I68" s="26">
        <v>0</v>
      </c>
      <c r="J68" s="26" t="s">
        <v>33</v>
      </c>
      <c r="K68" s="29">
        <f t="shared" si="1"/>
        <v>4</v>
      </c>
    </row>
    <row r="69" spans="1:11" x14ac:dyDescent="0.25">
      <c r="A69" s="26" t="s">
        <v>192</v>
      </c>
      <c r="B69" s="26" t="s">
        <v>35</v>
      </c>
      <c r="C69" s="26" t="s">
        <v>36</v>
      </c>
      <c r="D69" s="26" t="s">
        <v>21</v>
      </c>
      <c r="E69" s="26" t="s">
        <v>193</v>
      </c>
      <c r="G69" s="26">
        <v>99999</v>
      </c>
      <c r="H69" s="27" t="s">
        <v>568</v>
      </c>
      <c r="I69" s="26">
        <v>5</v>
      </c>
      <c r="K69" s="29">
        <f t="shared" si="1"/>
        <v>4</v>
      </c>
    </row>
    <row r="70" spans="1:11" x14ac:dyDescent="0.25">
      <c r="A70" s="26" t="s">
        <v>194</v>
      </c>
      <c r="B70" s="26" t="s">
        <v>5</v>
      </c>
      <c r="C70" s="26" t="s">
        <v>16</v>
      </c>
      <c r="D70" s="26" t="s">
        <v>21</v>
      </c>
      <c r="E70" s="26" t="s">
        <v>195</v>
      </c>
      <c r="G70" s="26" t="s">
        <v>38</v>
      </c>
      <c r="H70" s="26" t="s">
        <v>582</v>
      </c>
      <c r="I70" s="26">
        <v>4</v>
      </c>
      <c r="K70" s="29">
        <f t="shared" si="1"/>
        <v>4</v>
      </c>
    </row>
    <row r="71" spans="1:11" x14ac:dyDescent="0.25">
      <c r="A71" s="26" t="s">
        <v>196</v>
      </c>
      <c r="B71" s="26" t="s">
        <v>53</v>
      </c>
      <c r="C71" s="26" t="s">
        <v>54</v>
      </c>
      <c r="D71" s="26" t="s">
        <v>21</v>
      </c>
      <c r="E71" s="26" t="s">
        <v>197</v>
      </c>
      <c r="G71" s="26" t="s">
        <v>198</v>
      </c>
      <c r="H71" s="26" t="s">
        <v>605</v>
      </c>
      <c r="I71" s="26">
        <v>8</v>
      </c>
      <c r="J71" s="26" t="s">
        <v>45</v>
      </c>
      <c r="K71" s="29">
        <f t="shared" si="1"/>
        <v>4</v>
      </c>
    </row>
    <row r="72" spans="1:11" x14ac:dyDescent="0.25">
      <c r="A72" s="27" t="s">
        <v>199</v>
      </c>
      <c r="B72" s="27" t="s">
        <v>177</v>
      </c>
      <c r="C72" s="27" t="s">
        <v>178</v>
      </c>
      <c r="D72" s="27" t="s">
        <v>21</v>
      </c>
      <c r="E72" s="27" t="s">
        <v>200</v>
      </c>
      <c r="F72" s="27"/>
      <c r="G72" s="27">
        <v>999</v>
      </c>
      <c r="H72" s="27" t="s">
        <v>588</v>
      </c>
      <c r="I72" s="27">
        <v>3</v>
      </c>
      <c r="J72" s="27"/>
      <c r="K72" s="29">
        <f t="shared" si="1"/>
        <v>4</v>
      </c>
    </row>
    <row r="73" spans="1:11" x14ac:dyDescent="0.25">
      <c r="A73" s="26" t="s">
        <v>201</v>
      </c>
      <c r="B73" s="26" t="s">
        <v>67</v>
      </c>
      <c r="C73" s="26" t="s">
        <v>68</v>
      </c>
      <c r="D73" s="26" t="s">
        <v>21</v>
      </c>
      <c r="E73" s="26" t="s">
        <v>202</v>
      </c>
      <c r="G73" s="26" t="s">
        <v>32</v>
      </c>
      <c r="H73" s="26" t="s">
        <v>570</v>
      </c>
      <c r="I73" s="26">
        <v>0</v>
      </c>
      <c r="J73" s="26" t="s">
        <v>33</v>
      </c>
      <c r="K73" s="29">
        <f t="shared" si="1"/>
        <v>4</v>
      </c>
    </row>
    <row r="74" spans="1:11" x14ac:dyDescent="0.25">
      <c r="A74" s="26" t="s">
        <v>203</v>
      </c>
      <c r="B74" s="26" t="s">
        <v>35</v>
      </c>
      <c r="C74" s="26" t="s">
        <v>36</v>
      </c>
      <c r="D74" s="26" t="s">
        <v>21</v>
      </c>
      <c r="E74" s="26" t="s">
        <v>204</v>
      </c>
      <c r="G74" s="26">
        <v>99999</v>
      </c>
      <c r="H74" s="27" t="s">
        <v>568</v>
      </c>
      <c r="I74" s="26">
        <v>5</v>
      </c>
      <c r="K74" s="29">
        <f t="shared" si="1"/>
        <v>4</v>
      </c>
    </row>
    <row r="75" spans="1:11" x14ac:dyDescent="0.25">
      <c r="A75" s="26" t="s">
        <v>205</v>
      </c>
      <c r="B75" s="26" t="s">
        <v>35</v>
      </c>
      <c r="C75" s="26" t="s">
        <v>36</v>
      </c>
      <c r="D75" s="26" t="s">
        <v>21</v>
      </c>
      <c r="E75" s="26" t="s">
        <v>639</v>
      </c>
      <c r="G75" s="26">
        <v>99999</v>
      </c>
      <c r="H75" s="27" t="s">
        <v>568</v>
      </c>
      <c r="I75" s="26">
        <v>5</v>
      </c>
      <c r="K75" s="29">
        <f t="shared" si="1"/>
        <v>3</v>
      </c>
    </row>
    <row r="76" spans="1:11" x14ac:dyDescent="0.25">
      <c r="A76" s="26" t="s">
        <v>206</v>
      </c>
      <c r="B76" s="26" t="s">
        <v>35</v>
      </c>
      <c r="C76" s="26" t="s">
        <v>36</v>
      </c>
      <c r="D76" s="26" t="s">
        <v>21</v>
      </c>
      <c r="E76" s="26" t="s">
        <v>207</v>
      </c>
      <c r="G76" s="26">
        <v>99999</v>
      </c>
      <c r="H76" s="27" t="s">
        <v>568</v>
      </c>
      <c r="I76" s="26">
        <v>5</v>
      </c>
      <c r="K76" s="29">
        <f t="shared" si="1"/>
        <v>4</v>
      </c>
    </row>
    <row r="77" spans="1:11" x14ac:dyDescent="0.25">
      <c r="A77" s="26" t="s">
        <v>208</v>
      </c>
      <c r="B77" s="26" t="s">
        <v>35</v>
      </c>
      <c r="C77" s="26" t="s">
        <v>36</v>
      </c>
      <c r="D77" s="26" t="s">
        <v>21</v>
      </c>
      <c r="E77" s="26" t="s">
        <v>209</v>
      </c>
      <c r="G77" s="26">
        <v>99999</v>
      </c>
      <c r="H77" s="27" t="s">
        <v>568</v>
      </c>
      <c r="I77" s="26">
        <v>5</v>
      </c>
      <c r="K77" s="29">
        <f t="shared" si="1"/>
        <v>4</v>
      </c>
    </row>
    <row r="78" spans="1:11" x14ac:dyDescent="0.25">
      <c r="A78" s="26" t="s">
        <v>210</v>
      </c>
      <c r="B78" s="26" t="s">
        <v>5</v>
      </c>
      <c r="C78" s="26" t="s">
        <v>16</v>
      </c>
      <c r="D78" s="26" t="s">
        <v>21</v>
      </c>
      <c r="E78" s="26" t="s">
        <v>211</v>
      </c>
      <c r="G78" s="26" t="s">
        <v>32</v>
      </c>
      <c r="H78" s="26" t="s">
        <v>570</v>
      </c>
      <c r="I78" s="26">
        <v>0</v>
      </c>
      <c r="J78" s="26" t="s">
        <v>33</v>
      </c>
      <c r="K78" s="29">
        <f t="shared" si="1"/>
        <v>4</v>
      </c>
    </row>
    <row r="79" spans="1:11" x14ac:dyDescent="0.25">
      <c r="A79" s="26" t="s">
        <v>212</v>
      </c>
      <c r="B79" s="26" t="s">
        <v>5</v>
      </c>
      <c r="C79" s="26" t="s">
        <v>16</v>
      </c>
      <c r="D79" s="26" t="s">
        <v>21</v>
      </c>
      <c r="E79" s="26" t="s">
        <v>213</v>
      </c>
      <c r="G79" s="26" t="s">
        <v>32</v>
      </c>
      <c r="H79" s="26" t="s">
        <v>570</v>
      </c>
      <c r="I79" s="26">
        <v>0</v>
      </c>
      <c r="J79" s="26" t="s">
        <v>33</v>
      </c>
      <c r="K79" s="29">
        <f t="shared" si="1"/>
        <v>4</v>
      </c>
    </row>
    <row r="80" spans="1:11" x14ac:dyDescent="0.25">
      <c r="A80" s="26" t="s">
        <v>214</v>
      </c>
      <c r="B80" s="26" t="s">
        <v>5</v>
      </c>
      <c r="C80" s="26" t="s">
        <v>16</v>
      </c>
      <c r="D80" s="26" t="s">
        <v>21</v>
      </c>
      <c r="E80" s="26" t="s">
        <v>215</v>
      </c>
      <c r="G80" s="26" t="s">
        <v>38</v>
      </c>
      <c r="H80" s="26" t="s">
        <v>582</v>
      </c>
      <c r="I80" s="26">
        <v>4</v>
      </c>
      <c r="K80" s="29">
        <f t="shared" si="1"/>
        <v>4</v>
      </c>
    </row>
    <row r="81" spans="1:11" x14ac:dyDescent="0.25">
      <c r="A81" s="26" t="s">
        <v>216</v>
      </c>
      <c r="B81" s="26" t="s">
        <v>35</v>
      </c>
      <c r="C81" s="26" t="s">
        <v>36</v>
      </c>
      <c r="D81" s="26" t="s">
        <v>21</v>
      </c>
      <c r="E81" s="26" t="s">
        <v>640</v>
      </c>
      <c r="G81" s="26">
        <v>99999</v>
      </c>
      <c r="H81" s="27" t="s">
        <v>568</v>
      </c>
      <c r="I81" s="26">
        <v>5</v>
      </c>
      <c r="K81" s="29">
        <f t="shared" si="1"/>
        <v>3</v>
      </c>
    </row>
    <row r="82" spans="1:11" x14ac:dyDescent="0.25">
      <c r="A82" s="26" t="s">
        <v>217</v>
      </c>
      <c r="B82" s="26" t="s">
        <v>5</v>
      </c>
      <c r="C82" s="26" t="s">
        <v>16</v>
      </c>
      <c r="D82" s="26" t="s">
        <v>21</v>
      </c>
      <c r="E82" s="26" t="s">
        <v>218</v>
      </c>
      <c r="G82" s="26" t="s">
        <v>32</v>
      </c>
      <c r="H82" s="26" t="s">
        <v>570</v>
      </c>
      <c r="I82" s="26">
        <v>0</v>
      </c>
      <c r="J82" s="26" t="s">
        <v>33</v>
      </c>
      <c r="K82" s="29">
        <f t="shared" si="1"/>
        <v>4</v>
      </c>
    </row>
    <row r="83" spans="1:11" x14ac:dyDescent="0.25">
      <c r="A83" s="26" t="s">
        <v>219</v>
      </c>
      <c r="B83" s="26" t="s">
        <v>53</v>
      </c>
      <c r="C83" s="26" t="s">
        <v>54</v>
      </c>
      <c r="D83" s="26" t="s">
        <v>21</v>
      </c>
      <c r="E83" s="26" t="s">
        <v>220</v>
      </c>
      <c r="G83" s="26" t="s">
        <v>221</v>
      </c>
      <c r="H83" s="26" t="s">
        <v>591</v>
      </c>
      <c r="I83" s="26">
        <v>8</v>
      </c>
      <c r="J83" s="26" t="s">
        <v>45</v>
      </c>
      <c r="K83" s="29">
        <f t="shared" si="1"/>
        <v>4</v>
      </c>
    </row>
    <row r="84" spans="1:11" x14ac:dyDescent="0.25">
      <c r="A84" s="26" t="s">
        <v>222</v>
      </c>
      <c r="B84" s="26" t="s">
        <v>35</v>
      </c>
      <c r="C84" s="26" t="s">
        <v>36</v>
      </c>
      <c r="D84" s="26" t="s">
        <v>21</v>
      </c>
      <c r="E84" s="26" t="s">
        <v>641</v>
      </c>
      <c r="G84" s="26">
        <v>99999</v>
      </c>
      <c r="H84" s="27" t="s">
        <v>568</v>
      </c>
      <c r="I84" s="26">
        <v>5</v>
      </c>
      <c r="K84" s="29">
        <f t="shared" si="1"/>
        <v>3</v>
      </c>
    </row>
    <row r="85" spans="1:11" x14ac:dyDescent="0.25">
      <c r="A85" s="26" t="s">
        <v>223</v>
      </c>
      <c r="B85" s="26" t="s">
        <v>177</v>
      </c>
      <c r="C85" s="26" t="s">
        <v>178</v>
      </c>
      <c r="D85" s="26" t="s">
        <v>21</v>
      </c>
      <c r="E85" s="26" t="s">
        <v>224</v>
      </c>
      <c r="G85" s="26">
        <v>9999</v>
      </c>
      <c r="H85" s="27" t="s">
        <v>589</v>
      </c>
      <c r="I85" s="26">
        <v>4</v>
      </c>
      <c r="K85" s="29">
        <f t="shared" si="1"/>
        <v>4</v>
      </c>
    </row>
    <row r="86" spans="1:11" x14ac:dyDescent="0.25">
      <c r="A86" s="26" t="s">
        <v>225</v>
      </c>
      <c r="B86" s="26" t="s">
        <v>5</v>
      </c>
      <c r="C86" s="26" t="s">
        <v>16</v>
      </c>
      <c r="D86" s="26" t="s">
        <v>6</v>
      </c>
      <c r="E86" s="26">
        <v>473</v>
      </c>
      <c r="F86" s="26" t="s">
        <v>43</v>
      </c>
      <c r="G86" s="26" t="s">
        <v>32</v>
      </c>
      <c r="H86" s="26" t="s">
        <v>570</v>
      </c>
      <c r="I86" s="26">
        <v>0</v>
      </c>
      <c r="J86" s="26" t="s">
        <v>33</v>
      </c>
      <c r="K86" s="29">
        <f t="shared" si="1"/>
        <v>3</v>
      </c>
    </row>
    <row r="87" spans="1:11" x14ac:dyDescent="0.25">
      <c r="A87" s="26" t="s">
        <v>226</v>
      </c>
      <c r="B87" s="26" t="s">
        <v>35</v>
      </c>
      <c r="C87" s="26" t="s">
        <v>36</v>
      </c>
      <c r="D87" s="26" t="s">
        <v>21</v>
      </c>
      <c r="E87" s="26" t="s">
        <v>227</v>
      </c>
      <c r="G87" s="26">
        <v>99999</v>
      </c>
      <c r="H87" s="27" t="s">
        <v>568</v>
      </c>
      <c r="I87" s="26">
        <v>5</v>
      </c>
      <c r="K87" s="29">
        <f t="shared" si="1"/>
        <v>4</v>
      </c>
    </row>
    <row r="88" spans="1:11" x14ac:dyDescent="0.25">
      <c r="A88" s="26" t="s">
        <v>228</v>
      </c>
      <c r="B88" s="26" t="s">
        <v>5</v>
      </c>
      <c r="C88" s="26" t="s">
        <v>17</v>
      </c>
      <c r="D88" s="26" t="s">
        <v>6</v>
      </c>
      <c r="E88" s="26">
        <v>671</v>
      </c>
      <c r="F88" s="26" t="s">
        <v>43</v>
      </c>
      <c r="G88" s="26" t="s">
        <v>229</v>
      </c>
      <c r="H88" s="26" t="s">
        <v>579</v>
      </c>
      <c r="I88" s="26">
        <v>5</v>
      </c>
      <c r="J88" s="26" t="s">
        <v>230</v>
      </c>
      <c r="K88" s="29">
        <f t="shared" si="1"/>
        <v>3</v>
      </c>
    </row>
    <row r="89" spans="1:11" x14ac:dyDescent="0.25">
      <c r="A89" s="26" t="s">
        <v>15</v>
      </c>
      <c r="B89" s="26" t="s">
        <v>5</v>
      </c>
      <c r="C89" s="26" t="s">
        <v>16</v>
      </c>
      <c r="D89" s="26" t="s">
        <v>6</v>
      </c>
      <c r="E89" s="26" t="s">
        <v>231</v>
      </c>
      <c r="G89" s="26" t="s">
        <v>41</v>
      </c>
      <c r="H89" s="26" t="s">
        <v>581</v>
      </c>
      <c r="I89" s="26">
        <v>5</v>
      </c>
      <c r="K89" s="29">
        <f t="shared" si="1"/>
        <v>4</v>
      </c>
    </row>
    <row r="90" spans="1:11" x14ac:dyDescent="0.25">
      <c r="A90" s="26" t="s">
        <v>232</v>
      </c>
      <c r="B90" s="26" t="s">
        <v>53</v>
      </c>
      <c r="C90" s="26" t="s">
        <v>54</v>
      </c>
      <c r="D90" s="26" t="s">
        <v>21</v>
      </c>
      <c r="E90" s="26" t="s">
        <v>233</v>
      </c>
      <c r="G90" s="26" t="s">
        <v>234</v>
      </c>
      <c r="H90" s="26" t="s">
        <v>602</v>
      </c>
      <c r="I90" s="26" t="s">
        <v>235</v>
      </c>
      <c r="J90" s="26" t="s">
        <v>236</v>
      </c>
      <c r="K90" s="29">
        <f t="shared" si="1"/>
        <v>8</v>
      </c>
    </row>
    <row r="91" spans="1:11" x14ac:dyDescent="0.25">
      <c r="A91" s="26" t="s">
        <v>237</v>
      </c>
      <c r="B91" s="26" t="s">
        <v>5</v>
      </c>
      <c r="C91" s="26" t="s">
        <v>16</v>
      </c>
      <c r="D91" s="26" t="s">
        <v>21</v>
      </c>
      <c r="E91" s="26" t="s">
        <v>238</v>
      </c>
      <c r="G91" s="26" t="s">
        <v>32</v>
      </c>
      <c r="H91" s="26" t="s">
        <v>570</v>
      </c>
      <c r="I91" s="26">
        <v>0</v>
      </c>
      <c r="J91" s="26" t="s">
        <v>33</v>
      </c>
      <c r="K91" s="29">
        <f t="shared" si="1"/>
        <v>4</v>
      </c>
    </row>
    <row r="92" spans="1:11" x14ac:dyDescent="0.25">
      <c r="A92" s="26" t="s">
        <v>239</v>
      </c>
      <c r="B92" s="26" t="s">
        <v>5</v>
      </c>
      <c r="C92" s="26" t="s">
        <v>16</v>
      </c>
      <c r="D92" s="26" t="s">
        <v>21</v>
      </c>
      <c r="E92" s="26" t="s">
        <v>240</v>
      </c>
      <c r="G92" s="26" t="s">
        <v>38</v>
      </c>
      <c r="H92" s="26" t="s">
        <v>582</v>
      </c>
      <c r="I92" s="26">
        <v>4</v>
      </c>
      <c r="K92" s="29">
        <f t="shared" si="1"/>
        <v>4</v>
      </c>
    </row>
    <row r="93" spans="1:11" x14ac:dyDescent="0.25">
      <c r="A93" s="26" t="s">
        <v>241</v>
      </c>
      <c r="B93" s="26" t="s">
        <v>5</v>
      </c>
      <c r="C93" s="26" t="s">
        <v>16</v>
      </c>
      <c r="D93" s="26" t="s">
        <v>6</v>
      </c>
      <c r="E93" s="26" t="s">
        <v>242</v>
      </c>
      <c r="G93" s="26" t="s">
        <v>32</v>
      </c>
      <c r="H93" s="26" t="s">
        <v>570</v>
      </c>
      <c r="I93" s="26">
        <v>0</v>
      </c>
      <c r="J93" s="26" t="s">
        <v>33</v>
      </c>
      <c r="K93" s="29">
        <f t="shared" si="1"/>
        <v>4</v>
      </c>
    </row>
    <row r="94" spans="1:11" x14ac:dyDescent="0.25">
      <c r="A94" s="26" t="s">
        <v>243</v>
      </c>
      <c r="B94" s="26" t="s">
        <v>5</v>
      </c>
      <c r="C94" s="26" t="s">
        <v>16</v>
      </c>
      <c r="D94" s="26" t="s">
        <v>6</v>
      </c>
      <c r="E94" s="26" t="s">
        <v>244</v>
      </c>
      <c r="G94" s="26" t="s">
        <v>38</v>
      </c>
      <c r="H94" s="26" t="s">
        <v>582</v>
      </c>
      <c r="I94" s="26">
        <v>4</v>
      </c>
      <c r="K94" s="29">
        <f t="shared" si="1"/>
        <v>4</v>
      </c>
    </row>
    <row r="95" spans="1:11" x14ac:dyDescent="0.25">
      <c r="A95" s="26" t="s">
        <v>245</v>
      </c>
      <c r="B95" s="26" t="s">
        <v>35</v>
      </c>
      <c r="C95" s="26" t="s">
        <v>36</v>
      </c>
      <c r="D95" s="26" t="s">
        <v>21</v>
      </c>
      <c r="E95" s="26" t="s">
        <v>246</v>
      </c>
      <c r="G95" s="26" t="s">
        <v>247</v>
      </c>
      <c r="H95" s="26" t="s">
        <v>598</v>
      </c>
      <c r="I95" s="26">
        <v>5</v>
      </c>
      <c r="J95" s="26" t="s">
        <v>45</v>
      </c>
      <c r="K95" s="29">
        <f t="shared" si="1"/>
        <v>10</v>
      </c>
    </row>
    <row r="96" spans="1:11" x14ac:dyDescent="0.25">
      <c r="A96" s="26" t="s">
        <v>248</v>
      </c>
      <c r="B96" s="26" t="s">
        <v>5</v>
      </c>
      <c r="C96" s="26" t="s">
        <v>16</v>
      </c>
      <c r="D96" s="26" t="s">
        <v>6</v>
      </c>
      <c r="E96" s="26" t="s">
        <v>249</v>
      </c>
      <c r="G96" s="26" t="s">
        <v>41</v>
      </c>
      <c r="H96" s="26" t="s">
        <v>581</v>
      </c>
      <c r="I96" s="26">
        <v>5</v>
      </c>
      <c r="K96" s="29">
        <f t="shared" si="1"/>
        <v>4</v>
      </c>
    </row>
    <row r="97" spans="1:11" x14ac:dyDescent="0.25">
      <c r="A97" s="26" t="s">
        <v>250</v>
      </c>
      <c r="B97" s="26" t="s">
        <v>251</v>
      </c>
      <c r="C97" s="26" t="s">
        <v>252</v>
      </c>
      <c r="D97" s="26" t="s">
        <v>21</v>
      </c>
      <c r="E97" s="26" t="s">
        <v>253</v>
      </c>
      <c r="G97" s="26" t="s">
        <v>32</v>
      </c>
      <c r="H97" s="26" t="s">
        <v>570</v>
      </c>
      <c r="I97" s="26">
        <v>0</v>
      </c>
      <c r="J97" s="26" t="s">
        <v>254</v>
      </c>
      <c r="K97" s="29">
        <f t="shared" si="1"/>
        <v>4</v>
      </c>
    </row>
    <row r="98" spans="1:11" x14ac:dyDescent="0.25">
      <c r="A98" s="26" t="s">
        <v>255</v>
      </c>
      <c r="B98" s="26" t="s">
        <v>35</v>
      </c>
      <c r="C98" s="26" t="s">
        <v>36</v>
      </c>
      <c r="D98" s="26" t="s">
        <v>21</v>
      </c>
      <c r="E98" s="26" t="s">
        <v>642</v>
      </c>
      <c r="G98" s="26" t="s">
        <v>38</v>
      </c>
      <c r="H98" s="26" t="s">
        <v>582</v>
      </c>
      <c r="I98" s="26">
        <v>4</v>
      </c>
      <c r="K98" s="29">
        <f t="shared" si="1"/>
        <v>3</v>
      </c>
    </row>
    <row r="99" spans="1:11" x14ac:dyDescent="0.25">
      <c r="A99" s="27" t="s">
        <v>256</v>
      </c>
      <c r="B99" s="27" t="s">
        <v>35</v>
      </c>
      <c r="C99" s="27" t="s">
        <v>36</v>
      </c>
      <c r="D99" s="27" t="s">
        <v>21</v>
      </c>
      <c r="E99" s="27" t="s">
        <v>257</v>
      </c>
      <c r="F99" s="27"/>
      <c r="G99" s="27">
        <v>999</v>
      </c>
      <c r="H99" s="27" t="s">
        <v>588</v>
      </c>
      <c r="I99" s="27">
        <v>3</v>
      </c>
      <c r="J99" s="27"/>
      <c r="K99" s="29">
        <f t="shared" si="1"/>
        <v>4</v>
      </c>
    </row>
    <row r="100" spans="1:11" x14ac:dyDescent="0.25">
      <c r="A100" s="26" t="s">
        <v>258</v>
      </c>
      <c r="B100" s="26" t="s">
        <v>259</v>
      </c>
      <c r="C100" s="26" t="s">
        <v>260</v>
      </c>
      <c r="D100" s="26" t="s">
        <v>21</v>
      </c>
      <c r="E100" s="26" t="s">
        <v>643</v>
      </c>
      <c r="G100" s="26" t="s">
        <v>261</v>
      </c>
      <c r="H100" s="26" t="s">
        <v>619</v>
      </c>
      <c r="I100" s="26">
        <v>7</v>
      </c>
      <c r="K100" s="29">
        <f t="shared" si="1"/>
        <v>3</v>
      </c>
    </row>
    <row r="101" spans="1:11" x14ac:dyDescent="0.25">
      <c r="A101" s="26" t="s">
        <v>262</v>
      </c>
      <c r="B101" s="26" t="s">
        <v>5</v>
      </c>
      <c r="C101" s="26" t="s">
        <v>16</v>
      </c>
      <c r="D101" s="26" t="s">
        <v>21</v>
      </c>
      <c r="E101" s="26" t="s">
        <v>644</v>
      </c>
      <c r="G101" s="26" t="s">
        <v>41</v>
      </c>
      <c r="H101" s="26" t="s">
        <v>581</v>
      </c>
      <c r="I101" s="26">
        <v>5</v>
      </c>
      <c r="K101" s="29">
        <f t="shared" si="1"/>
        <v>3</v>
      </c>
    </row>
    <row r="102" spans="1:11" x14ac:dyDescent="0.25">
      <c r="A102" s="26" t="s">
        <v>263</v>
      </c>
      <c r="E102" s="26" t="s">
        <v>645</v>
      </c>
      <c r="G102" s="26" t="s">
        <v>264</v>
      </c>
      <c r="H102" s="26" t="s">
        <v>622</v>
      </c>
      <c r="I102" s="26">
        <v>11</v>
      </c>
      <c r="K102" s="29">
        <f t="shared" si="1"/>
        <v>3</v>
      </c>
    </row>
    <row r="103" spans="1:11" x14ac:dyDescent="0.25">
      <c r="A103" s="26" t="s">
        <v>265</v>
      </c>
      <c r="B103" s="26" t="s">
        <v>5</v>
      </c>
      <c r="C103" s="26" t="s">
        <v>16</v>
      </c>
      <c r="D103" s="26" t="s">
        <v>21</v>
      </c>
      <c r="E103" s="26" t="s">
        <v>266</v>
      </c>
      <c r="G103" s="26" t="s">
        <v>41</v>
      </c>
      <c r="H103" s="26" t="s">
        <v>581</v>
      </c>
      <c r="I103" s="26">
        <v>5</v>
      </c>
      <c r="K103" s="29">
        <f t="shared" si="1"/>
        <v>4</v>
      </c>
    </row>
    <row r="104" spans="1:11" x14ac:dyDescent="0.25">
      <c r="A104" s="26" t="s">
        <v>267</v>
      </c>
      <c r="B104" s="26" t="s">
        <v>35</v>
      </c>
      <c r="C104" s="26" t="s">
        <v>36</v>
      </c>
      <c r="D104" s="26" t="s">
        <v>21</v>
      </c>
      <c r="E104" s="26" t="s">
        <v>268</v>
      </c>
      <c r="G104" s="26" t="s">
        <v>269</v>
      </c>
      <c r="H104" s="26" t="s">
        <v>593</v>
      </c>
      <c r="I104" s="26" t="s">
        <v>270</v>
      </c>
      <c r="J104" s="26" t="s">
        <v>271</v>
      </c>
      <c r="K104" s="29">
        <f t="shared" si="1"/>
        <v>4</v>
      </c>
    </row>
    <row r="105" spans="1:11" x14ac:dyDescent="0.25">
      <c r="A105" s="26" t="s">
        <v>272</v>
      </c>
      <c r="B105" s="26" t="s">
        <v>5</v>
      </c>
      <c r="C105" s="26" t="s">
        <v>16</v>
      </c>
      <c r="D105" s="26" t="s">
        <v>21</v>
      </c>
      <c r="E105" s="26" t="s">
        <v>273</v>
      </c>
      <c r="G105" s="26" t="s">
        <v>140</v>
      </c>
      <c r="H105" s="26" t="s">
        <v>610</v>
      </c>
      <c r="I105" s="26">
        <v>7</v>
      </c>
      <c r="K105" s="29">
        <f t="shared" si="1"/>
        <v>4</v>
      </c>
    </row>
    <row r="106" spans="1:11" x14ac:dyDescent="0.25">
      <c r="A106" s="26" t="s">
        <v>274</v>
      </c>
      <c r="B106" s="26" t="s">
        <v>35</v>
      </c>
      <c r="C106" s="26" t="s">
        <v>36</v>
      </c>
      <c r="D106" s="26" t="s">
        <v>21</v>
      </c>
      <c r="E106" s="26" t="s">
        <v>646</v>
      </c>
      <c r="G106" s="26">
        <v>99999</v>
      </c>
      <c r="H106" s="27" t="s">
        <v>568</v>
      </c>
      <c r="I106" s="26">
        <v>5</v>
      </c>
      <c r="K106" s="29">
        <f t="shared" si="1"/>
        <v>3</v>
      </c>
    </row>
    <row r="107" spans="1:11" x14ac:dyDescent="0.25">
      <c r="A107" s="26" t="s">
        <v>275</v>
      </c>
      <c r="B107" s="26" t="s">
        <v>5</v>
      </c>
      <c r="C107" s="26" t="s">
        <v>16</v>
      </c>
      <c r="D107" s="26" t="s">
        <v>6</v>
      </c>
      <c r="E107" s="26">
        <v>876</v>
      </c>
      <c r="F107" s="26" t="s">
        <v>43</v>
      </c>
      <c r="G107" s="26" t="s">
        <v>32</v>
      </c>
      <c r="H107" s="26" t="s">
        <v>570</v>
      </c>
      <c r="I107" s="26">
        <v>0</v>
      </c>
      <c r="J107" s="26" t="s">
        <v>33</v>
      </c>
      <c r="K107" s="29">
        <f t="shared" si="1"/>
        <v>3</v>
      </c>
    </row>
    <row r="108" spans="1:11" x14ac:dyDescent="0.25">
      <c r="A108" s="26" t="s">
        <v>276</v>
      </c>
      <c r="B108" s="26" t="s">
        <v>277</v>
      </c>
      <c r="C108" s="26" t="s">
        <v>278</v>
      </c>
      <c r="D108" s="26" t="s">
        <v>279</v>
      </c>
      <c r="E108" s="26" t="s">
        <v>647</v>
      </c>
      <c r="G108" s="26" t="s">
        <v>280</v>
      </c>
      <c r="H108" s="26" t="s">
        <v>615</v>
      </c>
      <c r="I108" s="26">
        <v>8</v>
      </c>
      <c r="K108" s="29">
        <f t="shared" si="1"/>
        <v>3</v>
      </c>
    </row>
    <row r="109" spans="1:11" x14ac:dyDescent="0.25">
      <c r="A109" s="26" t="s">
        <v>281</v>
      </c>
      <c r="B109" s="26" t="s">
        <v>53</v>
      </c>
      <c r="C109" s="26" t="s">
        <v>54</v>
      </c>
      <c r="D109" s="26" t="s">
        <v>21</v>
      </c>
      <c r="E109" s="26" t="s">
        <v>282</v>
      </c>
      <c r="G109" s="26" t="s">
        <v>283</v>
      </c>
      <c r="H109" s="26" t="s">
        <v>603</v>
      </c>
      <c r="I109" s="26" t="s">
        <v>235</v>
      </c>
      <c r="J109" s="26" t="s">
        <v>284</v>
      </c>
      <c r="K109" s="29">
        <f t="shared" si="1"/>
        <v>8</v>
      </c>
    </row>
    <row r="110" spans="1:11" x14ac:dyDescent="0.25">
      <c r="A110" s="26" t="s">
        <v>285</v>
      </c>
      <c r="B110" s="26" t="s">
        <v>5</v>
      </c>
      <c r="C110" s="26" t="s">
        <v>16</v>
      </c>
      <c r="D110" s="26" t="s">
        <v>21</v>
      </c>
      <c r="E110" s="26" t="s">
        <v>286</v>
      </c>
      <c r="G110" s="26" t="s">
        <v>41</v>
      </c>
      <c r="H110" s="26" t="s">
        <v>581</v>
      </c>
      <c r="I110" s="26">
        <v>5</v>
      </c>
      <c r="J110" s="26" t="s">
        <v>287</v>
      </c>
      <c r="K110" s="29">
        <f t="shared" si="1"/>
        <v>4</v>
      </c>
    </row>
    <row r="111" spans="1:11" x14ac:dyDescent="0.25">
      <c r="A111" s="26" t="s">
        <v>288</v>
      </c>
      <c r="B111" s="26" t="s">
        <v>5</v>
      </c>
      <c r="C111" s="26" t="s">
        <v>16</v>
      </c>
      <c r="D111" s="26" t="s">
        <v>21</v>
      </c>
      <c r="E111" s="26" t="s">
        <v>648</v>
      </c>
      <c r="G111" s="26" t="s">
        <v>85</v>
      </c>
      <c r="H111" s="26" t="s">
        <v>583</v>
      </c>
      <c r="I111" s="26">
        <v>6</v>
      </c>
      <c r="K111" s="29">
        <f t="shared" si="1"/>
        <v>2</v>
      </c>
    </row>
    <row r="112" spans="1:11" x14ac:dyDescent="0.25">
      <c r="A112" s="26" t="s">
        <v>289</v>
      </c>
      <c r="B112" s="26" t="s">
        <v>5</v>
      </c>
      <c r="C112" s="26" t="s">
        <v>16</v>
      </c>
      <c r="D112" s="26" t="s">
        <v>21</v>
      </c>
      <c r="E112" s="26" t="s">
        <v>290</v>
      </c>
      <c r="G112" s="26" t="s">
        <v>41</v>
      </c>
      <c r="H112" s="26" t="s">
        <v>581</v>
      </c>
      <c r="I112" s="26">
        <v>5</v>
      </c>
      <c r="J112" s="26" t="s">
        <v>287</v>
      </c>
      <c r="K112" s="29">
        <f t="shared" si="1"/>
        <v>4</v>
      </c>
    </row>
    <row r="113" spans="1:11" x14ac:dyDescent="0.25">
      <c r="A113" s="26" t="s">
        <v>291</v>
      </c>
      <c r="B113" s="26" t="s">
        <v>5</v>
      </c>
      <c r="C113" s="26" t="s">
        <v>16</v>
      </c>
      <c r="D113" s="26" t="s">
        <v>21</v>
      </c>
      <c r="E113" s="26" t="s">
        <v>292</v>
      </c>
      <c r="G113" s="26" t="s">
        <v>32</v>
      </c>
      <c r="H113" s="26" t="s">
        <v>570</v>
      </c>
      <c r="I113" s="26">
        <v>0</v>
      </c>
      <c r="J113" s="26" t="s">
        <v>33</v>
      </c>
      <c r="K113" s="29">
        <f t="shared" si="1"/>
        <v>4</v>
      </c>
    </row>
    <row r="114" spans="1:11" x14ac:dyDescent="0.25">
      <c r="A114" s="26" t="s">
        <v>293</v>
      </c>
      <c r="E114" s="26" t="s">
        <v>294</v>
      </c>
      <c r="G114" s="26" t="s">
        <v>32</v>
      </c>
      <c r="H114" s="26" t="s">
        <v>570</v>
      </c>
      <c r="I114" s="26">
        <v>0</v>
      </c>
      <c r="J114" s="26" t="s">
        <v>33</v>
      </c>
      <c r="K114" s="29">
        <f t="shared" si="1"/>
        <v>4</v>
      </c>
    </row>
    <row r="115" spans="1:11" x14ac:dyDescent="0.25">
      <c r="A115" s="26" t="s">
        <v>295</v>
      </c>
      <c r="B115" s="26" t="s">
        <v>296</v>
      </c>
      <c r="C115" s="26" t="s">
        <v>297</v>
      </c>
      <c r="D115" s="26" t="s">
        <v>21</v>
      </c>
      <c r="E115" s="26" t="s">
        <v>649</v>
      </c>
      <c r="G115" s="26" t="s">
        <v>298</v>
      </c>
      <c r="H115" s="26" t="s">
        <v>616</v>
      </c>
      <c r="I115" s="26">
        <v>7</v>
      </c>
      <c r="K115" s="29">
        <f t="shared" si="1"/>
        <v>3</v>
      </c>
    </row>
    <row r="116" spans="1:11" x14ac:dyDescent="0.25">
      <c r="A116" s="26" t="s">
        <v>299</v>
      </c>
      <c r="B116" s="26" t="s">
        <v>5</v>
      </c>
      <c r="C116" s="26" t="s">
        <v>16</v>
      </c>
      <c r="D116" s="26" t="s">
        <v>21</v>
      </c>
      <c r="E116" s="26" t="s">
        <v>300</v>
      </c>
      <c r="G116" s="26" t="s">
        <v>41</v>
      </c>
      <c r="H116" s="26" t="s">
        <v>581</v>
      </c>
      <c r="I116" s="26">
        <v>5</v>
      </c>
      <c r="K116" s="29">
        <f t="shared" si="1"/>
        <v>4</v>
      </c>
    </row>
    <row r="117" spans="1:11" x14ac:dyDescent="0.25">
      <c r="A117" s="26" t="s">
        <v>301</v>
      </c>
      <c r="B117" s="26" t="s">
        <v>5</v>
      </c>
      <c r="C117" s="26" t="s">
        <v>16</v>
      </c>
      <c r="D117" s="26" t="s">
        <v>21</v>
      </c>
      <c r="E117" s="26" t="s">
        <v>302</v>
      </c>
      <c r="G117" s="26" t="s">
        <v>85</v>
      </c>
      <c r="H117" s="26" t="s">
        <v>583</v>
      </c>
      <c r="I117" s="26">
        <v>6</v>
      </c>
      <c r="K117" s="29">
        <f t="shared" si="1"/>
        <v>4</v>
      </c>
    </row>
    <row r="118" spans="1:11" x14ac:dyDescent="0.25">
      <c r="A118" s="26" t="s">
        <v>303</v>
      </c>
      <c r="B118" s="26" t="s">
        <v>5</v>
      </c>
      <c r="C118" s="26" t="s">
        <v>16</v>
      </c>
      <c r="D118" s="26" t="s">
        <v>21</v>
      </c>
      <c r="E118" s="26" t="s">
        <v>304</v>
      </c>
      <c r="G118" s="26" t="s">
        <v>41</v>
      </c>
      <c r="H118" s="26" t="s">
        <v>581</v>
      </c>
      <c r="I118" s="26">
        <v>5</v>
      </c>
      <c r="K118" s="29">
        <f t="shared" si="1"/>
        <v>4</v>
      </c>
    </row>
    <row r="119" spans="1:11" x14ac:dyDescent="0.25">
      <c r="A119" s="26" t="s">
        <v>305</v>
      </c>
      <c r="B119" s="26" t="s">
        <v>35</v>
      </c>
      <c r="C119" s="26" t="s">
        <v>36</v>
      </c>
      <c r="D119" s="26" t="s">
        <v>21</v>
      </c>
      <c r="E119" s="26" t="s">
        <v>306</v>
      </c>
      <c r="G119" s="26">
        <v>9999</v>
      </c>
      <c r="H119" s="27" t="s">
        <v>589</v>
      </c>
      <c r="I119" s="26">
        <v>4</v>
      </c>
      <c r="K119" s="29">
        <f t="shared" si="1"/>
        <v>4</v>
      </c>
    </row>
    <row r="120" spans="1:11" x14ac:dyDescent="0.25">
      <c r="A120" s="26" t="s">
        <v>307</v>
      </c>
      <c r="B120" s="26" t="s">
        <v>5</v>
      </c>
      <c r="C120" s="26" t="s">
        <v>16</v>
      </c>
      <c r="D120" s="26" t="s">
        <v>21</v>
      </c>
      <c r="E120" s="26" t="s">
        <v>308</v>
      </c>
      <c r="G120" s="26" t="s">
        <v>309</v>
      </c>
      <c r="H120" s="26" t="s">
        <v>621</v>
      </c>
      <c r="I120" s="26">
        <v>9</v>
      </c>
      <c r="J120" s="26" t="s">
        <v>61</v>
      </c>
      <c r="K120" s="29">
        <f t="shared" si="1"/>
        <v>4</v>
      </c>
    </row>
    <row r="121" spans="1:11" x14ac:dyDescent="0.25">
      <c r="A121" s="26" t="s">
        <v>310</v>
      </c>
      <c r="B121" s="26" t="s">
        <v>5</v>
      </c>
      <c r="C121" s="26" t="s">
        <v>16</v>
      </c>
      <c r="D121" s="26" t="s">
        <v>21</v>
      </c>
      <c r="E121" s="26" t="s">
        <v>311</v>
      </c>
      <c r="G121" s="26" t="s">
        <v>312</v>
      </c>
      <c r="H121" s="26" t="s">
        <v>585</v>
      </c>
      <c r="I121" s="26">
        <v>3</v>
      </c>
      <c r="K121" s="29">
        <f t="shared" si="1"/>
        <v>4</v>
      </c>
    </row>
    <row r="122" spans="1:11" x14ac:dyDescent="0.25">
      <c r="A122" s="26" t="s">
        <v>313</v>
      </c>
      <c r="B122" s="26" t="s">
        <v>5</v>
      </c>
      <c r="C122" s="26" t="s">
        <v>16</v>
      </c>
      <c r="D122" s="26" t="s">
        <v>21</v>
      </c>
      <c r="E122" s="26" t="s">
        <v>314</v>
      </c>
      <c r="G122" s="26" t="s">
        <v>38</v>
      </c>
      <c r="H122" s="26" t="s">
        <v>582</v>
      </c>
      <c r="I122" s="26">
        <v>4</v>
      </c>
      <c r="K122" s="29">
        <f t="shared" si="1"/>
        <v>4</v>
      </c>
    </row>
    <row r="123" spans="1:11" x14ac:dyDescent="0.25">
      <c r="A123" s="26" t="s">
        <v>315</v>
      </c>
      <c r="B123" s="26" t="s">
        <v>5</v>
      </c>
      <c r="C123" s="26" t="s">
        <v>16</v>
      </c>
      <c r="D123" s="26" t="s">
        <v>21</v>
      </c>
      <c r="E123" s="26" t="s">
        <v>316</v>
      </c>
      <c r="G123" s="26" t="s">
        <v>41</v>
      </c>
      <c r="H123" s="26" t="s">
        <v>581</v>
      </c>
      <c r="I123" s="26">
        <v>5</v>
      </c>
      <c r="K123" s="29">
        <f t="shared" si="1"/>
        <v>4</v>
      </c>
    </row>
    <row r="124" spans="1:11" x14ac:dyDescent="0.25">
      <c r="A124" s="26" t="s">
        <v>317</v>
      </c>
      <c r="B124" s="26" t="s">
        <v>35</v>
      </c>
      <c r="C124" s="26" t="s">
        <v>36</v>
      </c>
      <c r="D124" s="26" t="s">
        <v>21</v>
      </c>
      <c r="E124" s="26" t="s">
        <v>318</v>
      </c>
      <c r="G124" s="26">
        <v>9999</v>
      </c>
      <c r="H124" s="27" t="s">
        <v>589</v>
      </c>
      <c r="I124" s="26">
        <v>4</v>
      </c>
      <c r="K124" s="29">
        <f t="shared" si="1"/>
        <v>4</v>
      </c>
    </row>
    <row r="125" spans="1:11" x14ac:dyDescent="0.25">
      <c r="A125" s="26" t="s">
        <v>319</v>
      </c>
      <c r="B125" s="26" t="s">
        <v>35</v>
      </c>
      <c r="C125" s="26" t="s">
        <v>36</v>
      </c>
      <c r="D125" s="26" t="s">
        <v>21</v>
      </c>
      <c r="E125" s="26" t="s">
        <v>320</v>
      </c>
      <c r="G125" s="26" t="s">
        <v>321</v>
      </c>
      <c r="H125" s="26" t="s">
        <v>595</v>
      </c>
      <c r="I125" s="26">
        <v>5</v>
      </c>
      <c r="J125" s="26" t="s">
        <v>322</v>
      </c>
      <c r="K125" s="29">
        <f t="shared" si="1"/>
        <v>4</v>
      </c>
    </row>
    <row r="126" spans="1:11" x14ac:dyDescent="0.25">
      <c r="A126" s="26" t="s">
        <v>323</v>
      </c>
      <c r="B126" s="26" t="s">
        <v>35</v>
      </c>
      <c r="C126" s="26" t="s">
        <v>36</v>
      </c>
      <c r="D126" s="26" t="s">
        <v>21</v>
      </c>
      <c r="E126" s="26" t="s">
        <v>324</v>
      </c>
      <c r="G126" s="26">
        <v>9999</v>
      </c>
      <c r="H126" s="27" t="s">
        <v>589</v>
      </c>
      <c r="I126" s="26">
        <v>4</v>
      </c>
      <c r="K126" s="29">
        <f t="shared" si="1"/>
        <v>4</v>
      </c>
    </row>
    <row r="127" spans="1:11" x14ac:dyDescent="0.25">
      <c r="A127" s="26" t="s">
        <v>325</v>
      </c>
      <c r="B127" s="26" t="s">
        <v>251</v>
      </c>
      <c r="C127" s="26" t="s">
        <v>252</v>
      </c>
      <c r="D127" s="26" t="s">
        <v>21</v>
      </c>
      <c r="E127" s="26" t="s">
        <v>326</v>
      </c>
      <c r="G127" s="26" t="s">
        <v>32</v>
      </c>
      <c r="H127" s="26" t="s">
        <v>570</v>
      </c>
      <c r="I127" s="26">
        <v>0</v>
      </c>
      <c r="J127" s="26" t="s">
        <v>327</v>
      </c>
      <c r="K127" s="29">
        <f t="shared" si="1"/>
        <v>4</v>
      </c>
    </row>
    <row r="128" spans="1:11" x14ac:dyDescent="0.25">
      <c r="A128" s="26" t="s">
        <v>328</v>
      </c>
      <c r="B128" s="26" t="s">
        <v>35</v>
      </c>
      <c r="C128" s="26" t="s">
        <v>36</v>
      </c>
      <c r="D128" s="26" t="s">
        <v>21</v>
      </c>
      <c r="E128" s="26" t="s">
        <v>329</v>
      </c>
      <c r="G128" s="26" t="s">
        <v>38</v>
      </c>
      <c r="H128" s="26" t="s">
        <v>582</v>
      </c>
      <c r="I128" s="26">
        <v>4</v>
      </c>
      <c r="K128" s="29">
        <f t="shared" si="1"/>
        <v>4</v>
      </c>
    </row>
    <row r="129" spans="1:11" x14ac:dyDescent="0.25">
      <c r="A129" s="26" t="s">
        <v>330</v>
      </c>
      <c r="B129" s="26" t="s">
        <v>5</v>
      </c>
      <c r="C129" s="26" t="s">
        <v>16</v>
      </c>
      <c r="D129" s="26" t="s">
        <v>21</v>
      </c>
      <c r="E129" s="26" t="s">
        <v>331</v>
      </c>
      <c r="G129" s="26" t="s">
        <v>312</v>
      </c>
      <c r="H129" s="26" t="s">
        <v>585</v>
      </c>
      <c r="I129" s="26">
        <v>3</v>
      </c>
      <c r="K129" s="29">
        <f t="shared" si="1"/>
        <v>4</v>
      </c>
    </row>
    <row r="130" spans="1:11" x14ac:dyDescent="0.25">
      <c r="A130" s="26" t="s">
        <v>332</v>
      </c>
      <c r="B130" s="26" t="s">
        <v>5</v>
      </c>
      <c r="C130" s="26" t="s">
        <v>16</v>
      </c>
      <c r="D130" s="26" t="s">
        <v>21</v>
      </c>
      <c r="E130" s="26" t="s">
        <v>333</v>
      </c>
      <c r="G130" s="26" t="s">
        <v>32</v>
      </c>
      <c r="H130" s="26" t="s">
        <v>570</v>
      </c>
      <c r="I130" s="26">
        <v>0</v>
      </c>
      <c r="J130" s="26" t="s">
        <v>33</v>
      </c>
      <c r="K130" s="29">
        <f t="shared" ref="K130:K193" si="2">LEN(E130)</f>
        <v>4</v>
      </c>
    </row>
    <row r="131" spans="1:11" x14ac:dyDescent="0.25">
      <c r="A131" s="26" t="s">
        <v>334</v>
      </c>
      <c r="B131" s="26" t="s">
        <v>335</v>
      </c>
      <c r="C131" s="26" t="s">
        <v>336</v>
      </c>
      <c r="D131" s="26" t="s">
        <v>21</v>
      </c>
      <c r="E131" s="26" t="s">
        <v>650</v>
      </c>
      <c r="G131" s="26" t="s">
        <v>41</v>
      </c>
      <c r="H131" s="26" t="s">
        <v>581</v>
      </c>
      <c r="I131" s="26">
        <v>5</v>
      </c>
      <c r="K131" s="29">
        <f t="shared" si="2"/>
        <v>3</v>
      </c>
    </row>
    <row r="132" spans="1:11" x14ac:dyDescent="0.25">
      <c r="A132" s="26" t="s">
        <v>337</v>
      </c>
      <c r="B132" s="26" t="s">
        <v>5</v>
      </c>
      <c r="C132" s="26" t="s">
        <v>16</v>
      </c>
      <c r="D132" s="26" t="s">
        <v>21</v>
      </c>
      <c r="E132" s="26" t="s">
        <v>338</v>
      </c>
      <c r="G132" s="26" t="s">
        <v>339</v>
      </c>
      <c r="H132" s="26" t="s">
        <v>620</v>
      </c>
      <c r="I132" s="26">
        <v>5</v>
      </c>
      <c r="K132" s="29">
        <f t="shared" si="2"/>
        <v>4</v>
      </c>
    </row>
    <row r="133" spans="1:11" x14ac:dyDescent="0.25">
      <c r="A133" s="26" t="s">
        <v>340</v>
      </c>
      <c r="B133" s="26" t="s">
        <v>5</v>
      </c>
      <c r="C133" s="26" t="s">
        <v>16</v>
      </c>
      <c r="D133" s="26" t="s">
        <v>21</v>
      </c>
      <c r="E133" s="26" t="s">
        <v>341</v>
      </c>
      <c r="G133" s="26" t="s">
        <v>32</v>
      </c>
      <c r="H133" s="26" t="s">
        <v>570</v>
      </c>
      <c r="I133" s="26">
        <v>0</v>
      </c>
      <c r="J133" s="26" t="s">
        <v>33</v>
      </c>
      <c r="K133" s="29">
        <f t="shared" si="2"/>
        <v>4</v>
      </c>
    </row>
    <row r="134" spans="1:11" x14ac:dyDescent="0.25">
      <c r="A134" s="26" t="s">
        <v>342</v>
      </c>
      <c r="B134" s="26" t="s">
        <v>5</v>
      </c>
      <c r="C134" s="26" t="s">
        <v>16</v>
      </c>
      <c r="D134" s="26" t="s">
        <v>21</v>
      </c>
      <c r="E134" s="26" t="s">
        <v>343</v>
      </c>
      <c r="G134" s="26" t="s">
        <v>344</v>
      </c>
      <c r="H134" s="26" t="s">
        <v>594</v>
      </c>
      <c r="I134" s="26">
        <v>8</v>
      </c>
      <c r="K134" s="29">
        <f t="shared" si="2"/>
        <v>4</v>
      </c>
    </row>
    <row r="135" spans="1:11" x14ac:dyDescent="0.25">
      <c r="A135" s="26" t="s">
        <v>345</v>
      </c>
      <c r="B135" s="26" t="s">
        <v>5</v>
      </c>
      <c r="C135" s="26" t="s">
        <v>16</v>
      </c>
      <c r="D135" s="26" t="s">
        <v>21</v>
      </c>
      <c r="E135" s="26" t="s">
        <v>346</v>
      </c>
      <c r="G135" s="26" t="s">
        <v>347</v>
      </c>
      <c r="H135" s="26" t="s">
        <v>614</v>
      </c>
      <c r="I135" s="26">
        <v>5</v>
      </c>
      <c r="J135" s="26" t="s">
        <v>348</v>
      </c>
      <c r="K135" s="29">
        <f t="shared" si="2"/>
        <v>4</v>
      </c>
    </row>
    <row r="136" spans="1:11" x14ac:dyDescent="0.25">
      <c r="A136" s="26" t="s">
        <v>349</v>
      </c>
      <c r="B136" s="26" t="s">
        <v>35</v>
      </c>
      <c r="C136" s="26" t="s">
        <v>36</v>
      </c>
      <c r="D136" s="26" t="s">
        <v>21</v>
      </c>
      <c r="E136" s="26" t="s">
        <v>350</v>
      </c>
      <c r="G136" s="26">
        <v>99999</v>
      </c>
      <c r="H136" s="27" t="s">
        <v>568</v>
      </c>
      <c r="I136" s="26">
        <v>5</v>
      </c>
      <c r="K136" s="29">
        <f t="shared" si="2"/>
        <v>4</v>
      </c>
    </row>
    <row r="137" spans="1:11" x14ac:dyDescent="0.25">
      <c r="A137" s="26" t="s">
        <v>351</v>
      </c>
      <c r="B137" s="26" t="s">
        <v>5</v>
      </c>
      <c r="C137" s="26" t="s">
        <v>16</v>
      </c>
      <c r="D137" s="26" t="s">
        <v>21</v>
      </c>
      <c r="E137" s="26" t="s">
        <v>352</v>
      </c>
      <c r="G137" s="26" t="s">
        <v>32</v>
      </c>
      <c r="H137" s="26" t="s">
        <v>570</v>
      </c>
      <c r="I137" s="26">
        <v>0</v>
      </c>
      <c r="J137" s="26" t="s">
        <v>33</v>
      </c>
      <c r="K137" s="29">
        <f t="shared" si="2"/>
        <v>4</v>
      </c>
    </row>
    <row r="138" spans="1:11" x14ac:dyDescent="0.25">
      <c r="A138" s="26" t="s">
        <v>353</v>
      </c>
      <c r="B138" s="26" t="s">
        <v>5</v>
      </c>
      <c r="C138" s="26" t="s">
        <v>16</v>
      </c>
      <c r="D138" s="26" t="s">
        <v>21</v>
      </c>
      <c r="E138" s="26" t="s">
        <v>354</v>
      </c>
      <c r="G138" s="26" t="s">
        <v>32</v>
      </c>
      <c r="H138" s="26" t="s">
        <v>570</v>
      </c>
      <c r="I138" s="26">
        <v>0</v>
      </c>
      <c r="J138" s="26" t="s">
        <v>33</v>
      </c>
      <c r="K138" s="29">
        <f t="shared" si="2"/>
        <v>4</v>
      </c>
    </row>
    <row r="139" spans="1:11" x14ac:dyDescent="0.25">
      <c r="A139" s="26" t="s">
        <v>355</v>
      </c>
      <c r="B139" s="26" t="s">
        <v>35</v>
      </c>
      <c r="C139" s="26" t="s">
        <v>36</v>
      </c>
      <c r="D139" s="26" t="s">
        <v>21</v>
      </c>
      <c r="E139" s="26" t="s">
        <v>150</v>
      </c>
      <c r="G139" s="26">
        <v>99999</v>
      </c>
      <c r="H139" s="27" t="s">
        <v>568</v>
      </c>
      <c r="I139" s="26">
        <v>5</v>
      </c>
      <c r="K139" s="29">
        <f t="shared" si="2"/>
        <v>4</v>
      </c>
    </row>
    <row r="140" spans="1:11" x14ac:dyDescent="0.25">
      <c r="A140" s="26" t="s">
        <v>356</v>
      </c>
      <c r="B140" s="26" t="s">
        <v>357</v>
      </c>
      <c r="C140" s="26" t="s">
        <v>358</v>
      </c>
      <c r="D140" s="26" t="s">
        <v>359</v>
      </c>
      <c r="E140" s="26" t="s">
        <v>651</v>
      </c>
      <c r="G140" s="26">
        <v>99999</v>
      </c>
      <c r="H140" s="27" t="s">
        <v>568</v>
      </c>
      <c r="I140" s="26">
        <v>5</v>
      </c>
      <c r="K140" s="29">
        <f t="shared" si="2"/>
        <v>3</v>
      </c>
    </row>
    <row r="141" spans="1:11" x14ac:dyDescent="0.25">
      <c r="A141" s="26" t="s">
        <v>360</v>
      </c>
      <c r="B141" s="26" t="s">
        <v>5</v>
      </c>
      <c r="C141" s="26" t="s">
        <v>16</v>
      </c>
      <c r="D141" s="26" t="s">
        <v>21</v>
      </c>
      <c r="E141" s="26" t="s">
        <v>361</v>
      </c>
      <c r="G141" s="26" t="s">
        <v>362</v>
      </c>
      <c r="H141" s="26" t="s">
        <v>613</v>
      </c>
      <c r="I141" s="26">
        <v>5</v>
      </c>
      <c r="J141" s="26" t="s">
        <v>363</v>
      </c>
      <c r="K141" s="29">
        <f t="shared" si="2"/>
        <v>4</v>
      </c>
    </row>
    <row r="142" spans="1:11" x14ac:dyDescent="0.25">
      <c r="A142" s="26" t="s">
        <v>364</v>
      </c>
      <c r="B142" s="26" t="s">
        <v>5</v>
      </c>
      <c r="C142" s="26" t="s">
        <v>16</v>
      </c>
      <c r="D142" s="26" t="s">
        <v>21</v>
      </c>
      <c r="E142" s="26" t="s">
        <v>365</v>
      </c>
      <c r="G142" s="26" t="s">
        <v>38</v>
      </c>
      <c r="H142" s="26" t="s">
        <v>582</v>
      </c>
      <c r="I142" s="26">
        <v>4</v>
      </c>
      <c r="K142" s="29">
        <f t="shared" si="2"/>
        <v>4</v>
      </c>
    </row>
    <row r="143" spans="1:11" x14ac:dyDescent="0.25">
      <c r="A143" s="26" t="s">
        <v>366</v>
      </c>
      <c r="B143" s="26" t="s">
        <v>35</v>
      </c>
      <c r="C143" s="26" t="s">
        <v>36</v>
      </c>
      <c r="D143" s="26" t="s">
        <v>21</v>
      </c>
      <c r="E143" s="26" t="s">
        <v>367</v>
      </c>
      <c r="G143" s="26" t="s">
        <v>368</v>
      </c>
      <c r="H143" s="26" t="s">
        <v>597</v>
      </c>
      <c r="I143" s="26">
        <v>5</v>
      </c>
      <c r="J143" s="26" t="s">
        <v>369</v>
      </c>
      <c r="K143" s="29">
        <f t="shared" si="2"/>
        <v>4</v>
      </c>
    </row>
    <row r="144" spans="1:11" x14ac:dyDescent="0.25">
      <c r="A144" s="26" t="s">
        <v>370</v>
      </c>
      <c r="B144" s="26" t="s">
        <v>5</v>
      </c>
      <c r="C144" s="26" t="s">
        <v>16</v>
      </c>
      <c r="D144" s="26" t="s">
        <v>21</v>
      </c>
      <c r="E144" s="26" t="s">
        <v>371</v>
      </c>
      <c r="G144" s="26" t="s">
        <v>85</v>
      </c>
      <c r="H144" s="26" t="s">
        <v>583</v>
      </c>
      <c r="I144" s="26">
        <v>6</v>
      </c>
      <c r="K144" s="29">
        <f t="shared" si="2"/>
        <v>4</v>
      </c>
    </row>
    <row r="145" spans="1:11" x14ac:dyDescent="0.25">
      <c r="A145" s="26" t="s">
        <v>372</v>
      </c>
      <c r="B145" s="26" t="s">
        <v>35</v>
      </c>
      <c r="C145" s="26" t="s">
        <v>36</v>
      </c>
      <c r="D145" s="26" t="s">
        <v>21</v>
      </c>
      <c r="E145" s="26" t="s">
        <v>373</v>
      </c>
      <c r="G145" s="26" t="s">
        <v>41</v>
      </c>
      <c r="H145" s="26" t="s">
        <v>581</v>
      </c>
      <c r="I145" s="26">
        <v>5</v>
      </c>
      <c r="K145" s="29">
        <f t="shared" si="2"/>
        <v>4</v>
      </c>
    </row>
    <row r="146" spans="1:11" x14ac:dyDescent="0.25">
      <c r="A146" s="26" t="s">
        <v>374</v>
      </c>
      <c r="B146" s="26" t="s">
        <v>53</v>
      </c>
      <c r="C146" s="26" t="s">
        <v>54</v>
      </c>
      <c r="D146" s="26" t="s">
        <v>21</v>
      </c>
      <c r="E146" s="26">
        <v>664</v>
      </c>
      <c r="F146" s="26" t="s">
        <v>43</v>
      </c>
      <c r="G146" s="26" t="s">
        <v>32</v>
      </c>
      <c r="H146" s="26" t="s">
        <v>570</v>
      </c>
      <c r="I146" s="26">
        <v>0</v>
      </c>
      <c r="J146" s="26" t="s">
        <v>33</v>
      </c>
      <c r="K146" s="29">
        <f t="shared" si="2"/>
        <v>3</v>
      </c>
    </row>
    <row r="147" spans="1:11" x14ac:dyDescent="0.25">
      <c r="A147" s="26" t="s">
        <v>375</v>
      </c>
      <c r="B147" s="26" t="s">
        <v>35</v>
      </c>
      <c r="C147" s="26" t="s">
        <v>36</v>
      </c>
      <c r="D147" s="26" t="s">
        <v>21</v>
      </c>
      <c r="E147" s="26" t="s">
        <v>376</v>
      </c>
      <c r="G147" s="26" t="s">
        <v>41</v>
      </c>
      <c r="H147" s="26" t="s">
        <v>581</v>
      </c>
      <c r="I147" s="26">
        <v>5</v>
      </c>
      <c r="K147" s="29">
        <f t="shared" si="2"/>
        <v>4</v>
      </c>
    </row>
    <row r="148" spans="1:11" x14ac:dyDescent="0.25">
      <c r="A148" s="26" t="s">
        <v>377</v>
      </c>
      <c r="B148" s="26" t="s">
        <v>5</v>
      </c>
      <c r="C148" s="26" t="s">
        <v>16</v>
      </c>
      <c r="D148" s="26" t="s">
        <v>21</v>
      </c>
      <c r="E148" s="26" t="s">
        <v>378</v>
      </c>
      <c r="G148" s="26" t="s">
        <v>38</v>
      </c>
      <c r="H148" s="26" t="s">
        <v>582</v>
      </c>
      <c r="I148" s="26">
        <v>4</v>
      </c>
      <c r="K148" s="29">
        <f t="shared" si="2"/>
        <v>4</v>
      </c>
    </row>
    <row r="149" spans="1:11" x14ac:dyDescent="0.25">
      <c r="A149" s="26" t="s">
        <v>379</v>
      </c>
      <c r="B149" s="26" t="s">
        <v>5</v>
      </c>
      <c r="C149" s="26" t="s">
        <v>16</v>
      </c>
      <c r="D149" s="26" t="s">
        <v>21</v>
      </c>
      <c r="E149" s="26" t="s">
        <v>652</v>
      </c>
      <c r="G149" s="26" t="s">
        <v>41</v>
      </c>
      <c r="H149" s="26" t="s">
        <v>581</v>
      </c>
      <c r="I149" s="26">
        <v>5</v>
      </c>
      <c r="K149" s="29">
        <f t="shared" si="2"/>
        <v>3</v>
      </c>
    </row>
    <row r="150" spans="1:11" x14ac:dyDescent="0.25">
      <c r="A150" s="26" t="s">
        <v>380</v>
      </c>
      <c r="B150" s="26" t="s">
        <v>5</v>
      </c>
      <c r="C150" s="26" t="s">
        <v>16</v>
      </c>
      <c r="D150" s="26" t="s">
        <v>21</v>
      </c>
      <c r="E150" s="26" t="s">
        <v>381</v>
      </c>
      <c r="G150" s="26" t="s">
        <v>32</v>
      </c>
      <c r="H150" s="26" t="s">
        <v>570</v>
      </c>
      <c r="I150" s="26">
        <v>0</v>
      </c>
      <c r="J150" s="26" t="s">
        <v>33</v>
      </c>
      <c r="K150" s="29">
        <f t="shared" si="2"/>
        <v>4</v>
      </c>
    </row>
    <row r="151" spans="1:11" x14ac:dyDescent="0.25">
      <c r="A151" s="26" t="s">
        <v>382</v>
      </c>
      <c r="B151" s="26" t="s">
        <v>5</v>
      </c>
      <c r="C151" s="26" t="s">
        <v>16</v>
      </c>
      <c r="D151" s="26" t="s">
        <v>21</v>
      </c>
      <c r="E151" s="26" t="s">
        <v>383</v>
      </c>
      <c r="G151" s="26" t="s">
        <v>32</v>
      </c>
      <c r="H151" s="26" t="s">
        <v>570</v>
      </c>
      <c r="I151" s="26">
        <v>0</v>
      </c>
      <c r="J151" s="26" t="s">
        <v>33</v>
      </c>
      <c r="K151" s="29">
        <f t="shared" si="2"/>
        <v>4</v>
      </c>
    </row>
    <row r="152" spans="1:11" x14ac:dyDescent="0.25">
      <c r="A152" s="26" t="s">
        <v>384</v>
      </c>
      <c r="B152" s="26" t="s">
        <v>5</v>
      </c>
      <c r="C152" s="26" t="s">
        <v>16</v>
      </c>
      <c r="D152" s="26" t="s">
        <v>21</v>
      </c>
      <c r="E152" s="26" t="s">
        <v>385</v>
      </c>
      <c r="G152" s="26" t="s">
        <v>41</v>
      </c>
      <c r="H152" s="26" t="s">
        <v>581</v>
      </c>
      <c r="I152" s="26">
        <v>5</v>
      </c>
      <c r="K152" s="29">
        <f t="shared" si="2"/>
        <v>4</v>
      </c>
    </row>
    <row r="153" spans="1:11" x14ac:dyDescent="0.25">
      <c r="A153" s="26" t="s">
        <v>386</v>
      </c>
      <c r="B153" s="26" t="s">
        <v>35</v>
      </c>
      <c r="C153" s="26" t="s">
        <v>36</v>
      </c>
      <c r="D153" s="26" t="s">
        <v>21</v>
      </c>
      <c r="E153" s="26" t="s">
        <v>653</v>
      </c>
      <c r="G153" s="26" t="s">
        <v>387</v>
      </c>
      <c r="H153" s="27" t="s">
        <v>590</v>
      </c>
      <c r="I153" s="26">
        <v>7</v>
      </c>
      <c r="K153" s="29">
        <f t="shared" si="2"/>
        <v>3</v>
      </c>
    </row>
    <row r="154" spans="1:11" x14ac:dyDescent="0.25">
      <c r="A154" s="26" t="s">
        <v>388</v>
      </c>
      <c r="B154" s="26" t="s">
        <v>35</v>
      </c>
      <c r="C154" s="26" t="s">
        <v>36</v>
      </c>
      <c r="D154" s="26" t="s">
        <v>21</v>
      </c>
      <c r="E154" s="26" t="s">
        <v>389</v>
      </c>
      <c r="G154" s="26">
        <v>99999</v>
      </c>
      <c r="H154" s="27" t="s">
        <v>568</v>
      </c>
      <c r="I154" s="26">
        <v>5</v>
      </c>
      <c r="K154" s="29">
        <f t="shared" si="2"/>
        <v>4</v>
      </c>
    </row>
    <row r="155" spans="1:11" x14ac:dyDescent="0.25">
      <c r="A155" s="26" t="s">
        <v>390</v>
      </c>
      <c r="B155" s="26" t="s">
        <v>154</v>
      </c>
      <c r="C155" s="26" t="s">
        <v>155</v>
      </c>
      <c r="D155" s="26" t="s">
        <v>21</v>
      </c>
      <c r="E155" s="26" t="s">
        <v>654</v>
      </c>
      <c r="G155" s="26">
        <v>9999</v>
      </c>
      <c r="H155" s="27" t="s">
        <v>589</v>
      </c>
      <c r="I155" s="26">
        <v>4</v>
      </c>
      <c r="K155" s="29">
        <f t="shared" si="2"/>
        <v>3</v>
      </c>
    </row>
    <row r="156" spans="1:11" x14ac:dyDescent="0.25">
      <c r="A156" s="26" t="s">
        <v>391</v>
      </c>
      <c r="B156" s="26" t="s">
        <v>5</v>
      </c>
      <c r="C156" s="26" t="s">
        <v>16</v>
      </c>
      <c r="D156" s="26" t="s">
        <v>6</v>
      </c>
      <c r="E156" s="26" t="s">
        <v>392</v>
      </c>
      <c r="G156" s="26" t="s">
        <v>393</v>
      </c>
      <c r="H156" s="26" t="s">
        <v>606</v>
      </c>
      <c r="I156" s="26">
        <v>9</v>
      </c>
      <c r="K156" s="29">
        <f t="shared" si="2"/>
        <v>4</v>
      </c>
    </row>
    <row r="157" spans="1:11" x14ac:dyDescent="0.25">
      <c r="A157" s="26" t="s">
        <v>394</v>
      </c>
      <c r="B157" s="26" t="s">
        <v>5</v>
      </c>
      <c r="C157" s="26" t="s">
        <v>16</v>
      </c>
      <c r="D157" s="26" t="s">
        <v>21</v>
      </c>
      <c r="E157" s="26" t="s">
        <v>395</v>
      </c>
      <c r="G157" s="26" t="s">
        <v>38</v>
      </c>
      <c r="H157" s="26" t="s">
        <v>582</v>
      </c>
      <c r="I157" s="26">
        <v>4</v>
      </c>
      <c r="K157" s="29">
        <f t="shared" si="2"/>
        <v>4</v>
      </c>
    </row>
    <row r="158" spans="1:11" x14ac:dyDescent="0.25">
      <c r="A158" s="26" t="s">
        <v>396</v>
      </c>
      <c r="B158" s="26" t="s">
        <v>5</v>
      </c>
      <c r="C158" s="26" t="s">
        <v>16</v>
      </c>
      <c r="D158" s="26" t="s">
        <v>21</v>
      </c>
      <c r="E158" s="26" t="s">
        <v>397</v>
      </c>
      <c r="G158" s="26" t="s">
        <v>85</v>
      </c>
      <c r="H158" s="26" t="s">
        <v>583</v>
      </c>
      <c r="I158" s="26">
        <v>6</v>
      </c>
      <c r="K158" s="29">
        <f t="shared" si="2"/>
        <v>4</v>
      </c>
    </row>
    <row r="159" spans="1:11" x14ac:dyDescent="0.25">
      <c r="A159" s="26" t="s">
        <v>398</v>
      </c>
      <c r="B159" s="26" t="s">
        <v>154</v>
      </c>
      <c r="C159" s="26" t="s">
        <v>155</v>
      </c>
      <c r="D159" s="26" t="s">
        <v>21</v>
      </c>
      <c r="E159" s="26" t="s">
        <v>399</v>
      </c>
      <c r="G159" s="26" t="s">
        <v>32</v>
      </c>
      <c r="H159" s="26" t="s">
        <v>570</v>
      </c>
      <c r="I159" s="26">
        <v>0</v>
      </c>
      <c r="J159" s="26" t="s">
        <v>33</v>
      </c>
      <c r="K159" s="29">
        <f t="shared" si="2"/>
        <v>4</v>
      </c>
    </row>
    <row r="160" spans="1:11" x14ac:dyDescent="0.25">
      <c r="A160" s="26" t="s">
        <v>400</v>
      </c>
      <c r="B160" s="26" t="s">
        <v>67</v>
      </c>
      <c r="C160" s="26" t="s">
        <v>68</v>
      </c>
      <c r="D160" s="26" t="s">
        <v>21</v>
      </c>
      <c r="E160" s="26" t="s">
        <v>57</v>
      </c>
      <c r="G160" s="26">
        <v>9999</v>
      </c>
      <c r="H160" s="27" t="s">
        <v>589</v>
      </c>
      <c r="I160" s="26">
        <v>4</v>
      </c>
      <c r="K160" s="29">
        <f t="shared" si="2"/>
        <v>4</v>
      </c>
    </row>
    <row r="161" spans="1:11" x14ac:dyDescent="0.25">
      <c r="A161" s="26" t="s">
        <v>401</v>
      </c>
      <c r="B161" s="26" t="s">
        <v>5</v>
      </c>
      <c r="C161" s="26" t="s">
        <v>17</v>
      </c>
      <c r="D161" s="26" t="s">
        <v>6</v>
      </c>
      <c r="E161" s="26">
        <v>670</v>
      </c>
      <c r="F161" s="26" t="s">
        <v>43</v>
      </c>
      <c r="G161" s="26" t="s">
        <v>402</v>
      </c>
      <c r="H161" s="26" t="s">
        <v>578</v>
      </c>
      <c r="I161" s="26">
        <v>5</v>
      </c>
      <c r="J161" s="26" t="s">
        <v>348</v>
      </c>
      <c r="K161" s="29">
        <f t="shared" si="2"/>
        <v>3</v>
      </c>
    </row>
    <row r="162" spans="1:11" x14ac:dyDescent="0.25">
      <c r="A162" s="26" t="s">
        <v>403</v>
      </c>
      <c r="B162" s="26" t="s">
        <v>404</v>
      </c>
      <c r="C162" s="26" t="s">
        <v>405</v>
      </c>
      <c r="D162" s="26" t="s">
        <v>21</v>
      </c>
      <c r="E162" s="26" t="s">
        <v>655</v>
      </c>
      <c r="G162" s="26">
        <v>9999</v>
      </c>
      <c r="H162" s="27" t="s">
        <v>589</v>
      </c>
      <c r="I162" s="26">
        <v>4</v>
      </c>
      <c r="K162" s="29">
        <f t="shared" si="2"/>
        <v>3</v>
      </c>
    </row>
    <row r="163" spans="1:11" x14ac:dyDescent="0.25">
      <c r="A163" s="26" t="s">
        <v>406</v>
      </c>
      <c r="B163" s="26" t="s">
        <v>5</v>
      </c>
      <c r="C163" s="26" t="s">
        <v>16</v>
      </c>
      <c r="D163" s="26" t="s">
        <v>21</v>
      </c>
      <c r="E163" s="26" t="s">
        <v>407</v>
      </c>
      <c r="G163" s="26" t="s">
        <v>312</v>
      </c>
      <c r="H163" s="26" t="s">
        <v>585</v>
      </c>
      <c r="I163" s="26">
        <v>3</v>
      </c>
      <c r="J163" s="26" t="s">
        <v>287</v>
      </c>
      <c r="K163" s="29">
        <f t="shared" si="2"/>
        <v>4</v>
      </c>
    </row>
    <row r="164" spans="1:11" x14ac:dyDescent="0.25">
      <c r="A164" s="26" t="s">
        <v>408</v>
      </c>
      <c r="B164" s="26" t="s">
        <v>5</v>
      </c>
      <c r="C164" s="26" t="s">
        <v>16</v>
      </c>
      <c r="D164" s="26" t="s">
        <v>21</v>
      </c>
      <c r="E164" s="26" t="s">
        <v>656</v>
      </c>
      <c r="G164" s="26" t="s">
        <v>41</v>
      </c>
      <c r="H164" s="26" t="s">
        <v>581</v>
      </c>
      <c r="I164" s="26">
        <v>5</v>
      </c>
      <c r="K164" s="29">
        <f t="shared" si="2"/>
        <v>3</v>
      </c>
    </row>
    <row r="165" spans="1:11" x14ac:dyDescent="0.25">
      <c r="A165" s="26" t="s">
        <v>409</v>
      </c>
      <c r="B165" s="26" t="s">
        <v>5</v>
      </c>
      <c r="C165" s="26" t="s">
        <v>16</v>
      </c>
      <c r="D165" s="26" t="s">
        <v>21</v>
      </c>
      <c r="E165" s="26" t="s">
        <v>410</v>
      </c>
      <c r="G165" s="26" t="s">
        <v>411</v>
      </c>
      <c r="H165" s="26" t="s">
        <v>612</v>
      </c>
      <c r="I165" s="26">
        <v>5</v>
      </c>
      <c r="J165" s="26" t="s">
        <v>348</v>
      </c>
      <c r="K165" s="29">
        <f t="shared" si="2"/>
        <v>4</v>
      </c>
    </row>
    <row r="166" spans="1:11" x14ac:dyDescent="0.25">
      <c r="A166" s="26" t="s">
        <v>412</v>
      </c>
      <c r="B166" s="26" t="s">
        <v>5</v>
      </c>
      <c r="C166" s="26" t="s">
        <v>16</v>
      </c>
      <c r="D166" s="26" t="s">
        <v>21</v>
      </c>
      <c r="E166" s="26" t="s">
        <v>413</v>
      </c>
      <c r="G166" s="26" t="s">
        <v>41</v>
      </c>
      <c r="H166" s="26" t="s">
        <v>581</v>
      </c>
      <c r="I166" s="26">
        <v>5</v>
      </c>
      <c r="K166" s="29">
        <f t="shared" si="2"/>
        <v>4</v>
      </c>
    </row>
    <row r="167" spans="1:11" x14ac:dyDescent="0.25">
      <c r="A167" s="26" t="s">
        <v>414</v>
      </c>
      <c r="B167" s="26" t="s">
        <v>5</v>
      </c>
      <c r="C167" s="26" t="s">
        <v>16</v>
      </c>
      <c r="D167" s="26" t="s">
        <v>6</v>
      </c>
      <c r="E167" s="26" t="s">
        <v>415</v>
      </c>
      <c r="G167" s="26" t="s">
        <v>32</v>
      </c>
      <c r="H167" s="26" t="s">
        <v>570</v>
      </c>
      <c r="I167" s="26">
        <v>0</v>
      </c>
      <c r="J167" s="26" t="s">
        <v>416</v>
      </c>
      <c r="K167" s="29">
        <f t="shared" si="2"/>
        <v>4</v>
      </c>
    </row>
    <row r="168" spans="1:11" x14ac:dyDescent="0.25">
      <c r="A168" s="26" t="s">
        <v>417</v>
      </c>
      <c r="B168" s="26" t="s">
        <v>67</v>
      </c>
      <c r="C168" s="26" t="s">
        <v>68</v>
      </c>
      <c r="D168" s="26" t="s">
        <v>21</v>
      </c>
      <c r="E168" s="26" t="s">
        <v>418</v>
      </c>
      <c r="G168" s="26" t="s">
        <v>312</v>
      </c>
      <c r="H168" s="26" t="s">
        <v>585</v>
      </c>
      <c r="I168" s="26">
        <v>3</v>
      </c>
      <c r="K168" s="29">
        <f t="shared" si="2"/>
        <v>4</v>
      </c>
    </row>
    <row r="169" spans="1:11" x14ac:dyDescent="0.25">
      <c r="A169" s="26" t="s">
        <v>419</v>
      </c>
      <c r="B169" s="26" t="s">
        <v>5</v>
      </c>
      <c r="C169" s="26" t="s">
        <v>16</v>
      </c>
      <c r="D169" s="26" t="s">
        <v>6</v>
      </c>
      <c r="E169" s="26" t="s">
        <v>420</v>
      </c>
      <c r="G169" s="26" t="s">
        <v>38</v>
      </c>
      <c r="H169" s="26" t="s">
        <v>582</v>
      </c>
      <c r="I169" s="26">
        <v>4</v>
      </c>
      <c r="K169" s="29">
        <f t="shared" si="2"/>
        <v>4</v>
      </c>
    </row>
    <row r="170" spans="1:11" x14ac:dyDescent="0.25">
      <c r="A170" s="26" t="s">
        <v>421</v>
      </c>
      <c r="B170" s="26" t="s">
        <v>5</v>
      </c>
      <c r="C170" s="26" t="s">
        <v>16</v>
      </c>
      <c r="D170" s="26" t="s">
        <v>6</v>
      </c>
      <c r="E170" s="26" t="s">
        <v>657</v>
      </c>
      <c r="G170" s="26" t="s">
        <v>422</v>
      </c>
      <c r="H170" s="26" t="s">
        <v>608</v>
      </c>
      <c r="I170" s="26" t="s">
        <v>423</v>
      </c>
      <c r="J170" s="26" t="s">
        <v>424</v>
      </c>
      <c r="K170" s="29">
        <f t="shared" si="2"/>
        <v>3</v>
      </c>
    </row>
    <row r="171" spans="1:11" x14ac:dyDescent="0.25">
      <c r="A171" s="26" t="s">
        <v>425</v>
      </c>
      <c r="B171" s="26" t="s">
        <v>5</v>
      </c>
      <c r="C171" s="26" t="s">
        <v>16</v>
      </c>
      <c r="D171" s="26" t="s">
        <v>21</v>
      </c>
      <c r="E171" s="26" t="s">
        <v>658</v>
      </c>
      <c r="G171" s="26" t="s">
        <v>38</v>
      </c>
      <c r="H171" s="26" t="s">
        <v>582</v>
      </c>
      <c r="I171" s="26">
        <v>4</v>
      </c>
      <c r="K171" s="29">
        <f t="shared" si="2"/>
        <v>3</v>
      </c>
    </row>
    <row r="172" spans="1:11" x14ac:dyDescent="0.25">
      <c r="A172" s="26" t="s">
        <v>426</v>
      </c>
      <c r="B172" s="26" t="s">
        <v>53</v>
      </c>
      <c r="C172" s="26" t="s">
        <v>54</v>
      </c>
      <c r="D172" s="26" t="s">
        <v>21</v>
      </c>
      <c r="E172" s="26" t="s">
        <v>427</v>
      </c>
      <c r="G172" s="26" t="s">
        <v>428</v>
      </c>
      <c r="H172" s="26" t="s">
        <v>617</v>
      </c>
      <c r="I172" s="26">
        <v>8</v>
      </c>
      <c r="J172" s="26" t="s">
        <v>45</v>
      </c>
      <c r="K172" s="29">
        <f t="shared" si="2"/>
        <v>4</v>
      </c>
    </row>
    <row r="173" spans="1:11" x14ac:dyDescent="0.25">
      <c r="A173" s="26" t="s">
        <v>429</v>
      </c>
      <c r="B173" s="26" t="s">
        <v>35</v>
      </c>
      <c r="C173" s="26" t="s">
        <v>36</v>
      </c>
      <c r="D173" s="26" t="s">
        <v>21</v>
      </c>
      <c r="E173" s="26" t="s">
        <v>659</v>
      </c>
      <c r="G173" s="26" t="s">
        <v>430</v>
      </c>
      <c r="H173" s="26" t="s">
        <v>604</v>
      </c>
      <c r="I173" s="26">
        <v>6</v>
      </c>
      <c r="K173" s="29">
        <f t="shared" si="2"/>
        <v>3</v>
      </c>
    </row>
    <row r="174" spans="1:11" x14ac:dyDescent="0.25">
      <c r="A174" s="26" t="s">
        <v>431</v>
      </c>
      <c r="B174" s="26" t="s">
        <v>35</v>
      </c>
      <c r="C174" s="26" t="s">
        <v>36</v>
      </c>
      <c r="D174" s="26" t="s">
        <v>21</v>
      </c>
      <c r="E174" s="26" t="s">
        <v>432</v>
      </c>
      <c r="G174" s="26" t="s">
        <v>433</v>
      </c>
      <c r="H174" s="26" t="s">
        <v>592</v>
      </c>
      <c r="I174" s="26">
        <v>8</v>
      </c>
      <c r="J174" s="26" t="s">
        <v>61</v>
      </c>
      <c r="K174" s="29">
        <f t="shared" si="2"/>
        <v>4</v>
      </c>
    </row>
    <row r="175" spans="1:11" x14ac:dyDescent="0.25">
      <c r="A175" s="26" t="s">
        <v>434</v>
      </c>
      <c r="B175" s="26" t="s">
        <v>5</v>
      </c>
      <c r="C175" s="26" t="s">
        <v>17</v>
      </c>
      <c r="D175" s="26" t="s">
        <v>6</v>
      </c>
      <c r="E175" s="26" t="s">
        <v>710</v>
      </c>
      <c r="F175" s="26" t="s">
        <v>43</v>
      </c>
      <c r="G175" s="26">
        <v>99999</v>
      </c>
      <c r="H175" s="27" t="s">
        <v>568</v>
      </c>
      <c r="I175" s="26">
        <v>5</v>
      </c>
      <c r="K175" s="29">
        <f t="shared" si="2"/>
        <v>10</v>
      </c>
    </row>
    <row r="176" spans="1:11" x14ac:dyDescent="0.25">
      <c r="A176" s="26" t="s">
        <v>435</v>
      </c>
      <c r="B176" s="26" t="s">
        <v>5</v>
      </c>
      <c r="C176" s="26" t="s">
        <v>16</v>
      </c>
      <c r="D176" s="26" t="s">
        <v>21</v>
      </c>
      <c r="E176" s="26" t="s">
        <v>436</v>
      </c>
      <c r="G176" s="26" t="s">
        <v>32</v>
      </c>
      <c r="H176" s="26" t="s">
        <v>570</v>
      </c>
      <c r="I176" s="26">
        <v>0</v>
      </c>
      <c r="J176" s="26" t="s">
        <v>416</v>
      </c>
      <c r="K176" s="29">
        <f t="shared" si="2"/>
        <v>4</v>
      </c>
    </row>
    <row r="177" spans="1:11" x14ac:dyDescent="0.25">
      <c r="A177" s="26" t="s">
        <v>437</v>
      </c>
      <c r="B177" s="26" t="s">
        <v>35</v>
      </c>
      <c r="C177" s="26" t="s">
        <v>36</v>
      </c>
      <c r="D177" s="26" t="s">
        <v>21</v>
      </c>
      <c r="E177" s="26" t="s">
        <v>438</v>
      </c>
      <c r="G177" s="26">
        <v>99999</v>
      </c>
      <c r="H177" s="27" t="s">
        <v>568</v>
      </c>
      <c r="I177" s="26">
        <v>5</v>
      </c>
      <c r="K177" s="29">
        <f t="shared" si="2"/>
        <v>4</v>
      </c>
    </row>
    <row r="178" spans="1:11" x14ac:dyDescent="0.25">
      <c r="A178" s="26" t="s">
        <v>439</v>
      </c>
      <c r="B178" s="26" t="s">
        <v>35</v>
      </c>
      <c r="C178" s="26" t="s">
        <v>36</v>
      </c>
      <c r="D178" s="26" t="s">
        <v>21</v>
      </c>
      <c r="E178" s="26" t="s">
        <v>660</v>
      </c>
      <c r="G178" s="26" t="s">
        <v>85</v>
      </c>
      <c r="H178" s="26" t="s">
        <v>583</v>
      </c>
      <c r="I178" s="26">
        <v>6</v>
      </c>
      <c r="K178" s="29">
        <f t="shared" si="2"/>
        <v>3</v>
      </c>
    </row>
    <row r="179" spans="1:11" x14ac:dyDescent="0.25">
      <c r="A179" s="26" t="s">
        <v>440</v>
      </c>
      <c r="B179" s="26" t="s">
        <v>5</v>
      </c>
      <c r="C179" s="26" t="s">
        <v>16</v>
      </c>
      <c r="D179" s="26" t="s">
        <v>21</v>
      </c>
      <c r="E179" s="26" t="s">
        <v>648</v>
      </c>
      <c r="G179" s="26" t="s">
        <v>85</v>
      </c>
      <c r="H179" s="26" t="s">
        <v>583</v>
      </c>
      <c r="I179" s="26">
        <v>6</v>
      </c>
      <c r="K179" s="29">
        <f t="shared" si="2"/>
        <v>2</v>
      </c>
    </row>
    <row r="180" spans="1:11" x14ac:dyDescent="0.25">
      <c r="A180" s="26" t="s">
        <v>441</v>
      </c>
      <c r="B180" s="26" t="s">
        <v>5</v>
      </c>
      <c r="C180" s="26" t="s">
        <v>16</v>
      </c>
      <c r="D180" s="26" t="s">
        <v>21</v>
      </c>
      <c r="E180" s="26" t="s">
        <v>442</v>
      </c>
      <c r="G180" s="26" t="s">
        <v>32</v>
      </c>
      <c r="H180" s="26" t="s">
        <v>570</v>
      </c>
      <c r="I180" s="26">
        <v>0</v>
      </c>
      <c r="J180" s="26" t="s">
        <v>33</v>
      </c>
      <c r="K180" s="29">
        <f t="shared" si="2"/>
        <v>4</v>
      </c>
    </row>
    <row r="181" spans="1:11" x14ac:dyDescent="0.25">
      <c r="A181" s="26" t="s">
        <v>443</v>
      </c>
      <c r="B181" s="26" t="s">
        <v>53</v>
      </c>
      <c r="C181" s="26" t="s">
        <v>54</v>
      </c>
      <c r="D181" s="26" t="s">
        <v>21</v>
      </c>
      <c r="E181" s="26" t="s">
        <v>444</v>
      </c>
      <c r="G181" s="26" t="s">
        <v>445</v>
      </c>
      <c r="H181" s="26" t="s">
        <v>587</v>
      </c>
      <c r="I181" s="26">
        <v>8</v>
      </c>
      <c r="J181" s="26" t="s">
        <v>45</v>
      </c>
      <c r="K181" s="29">
        <f t="shared" si="2"/>
        <v>4</v>
      </c>
    </row>
    <row r="182" spans="1:11" x14ac:dyDescent="0.25">
      <c r="A182" s="26" t="s">
        <v>446</v>
      </c>
      <c r="B182" s="26" t="s">
        <v>5</v>
      </c>
      <c r="C182" s="26" t="s">
        <v>16</v>
      </c>
      <c r="D182" s="26" t="s">
        <v>6</v>
      </c>
      <c r="E182" s="26">
        <v>869</v>
      </c>
      <c r="F182" s="26" t="s">
        <v>43</v>
      </c>
      <c r="G182" s="26" t="s">
        <v>32</v>
      </c>
      <c r="H182" s="26" t="s">
        <v>570</v>
      </c>
      <c r="I182" s="26">
        <v>0</v>
      </c>
      <c r="J182" s="26" t="s">
        <v>33</v>
      </c>
      <c r="K182" s="29">
        <f t="shared" si="2"/>
        <v>3</v>
      </c>
    </row>
    <row r="183" spans="1:11" x14ac:dyDescent="0.25">
      <c r="A183" s="26" t="s">
        <v>447</v>
      </c>
      <c r="B183" s="26" t="s">
        <v>5</v>
      </c>
      <c r="C183" s="26" t="s">
        <v>16</v>
      </c>
      <c r="D183" s="26" t="s">
        <v>6</v>
      </c>
      <c r="E183" s="26">
        <v>758</v>
      </c>
      <c r="F183" s="26" t="s">
        <v>43</v>
      </c>
      <c r="G183" s="26" t="s">
        <v>32</v>
      </c>
      <c r="H183" s="26" t="s">
        <v>570</v>
      </c>
      <c r="I183" s="26">
        <v>0</v>
      </c>
      <c r="J183" s="26" t="s">
        <v>33</v>
      </c>
      <c r="K183" s="29">
        <f t="shared" si="2"/>
        <v>3</v>
      </c>
    </row>
    <row r="184" spans="1:11" x14ac:dyDescent="0.25">
      <c r="A184" s="26" t="s">
        <v>448</v>
      </c>
      <c r="B184" s="26" t="s">
        <v>35</v>
      </c>
      <c r="C184" s="26" t="s">
        <v>36</v>
      </c>
      <c r="D184" s="26" t="s">
        <v>21</v>
      </c>
      <c r="E184" s="26" t="s">
        <v>449</v>
      </c>
      <c r="G184" s="26">
        <v>99999</v>
      </c>
      <c r="H184" s="27" t="s">
        <v>568</v>
      </c>
      <c r="I184" s="26">
        <v>5</v>
      </c>
      <c r="K184" s="29">
        <f t="shared" si="2"/>
        <v>4</v>
      </c>
    </row>
    <row r="185" spans="1:11" x14ac:dyDescent="0.25">
      <c r="A185" s="26" t="s">
        <v>450</v>
      </c>
      <c r="B185" s="26" t="s">
        <v>5</v>
      </c>
      <c r="C185" s="26" t="s">
        <v>16</v>
      </c>
      <c r="D185" s="26" t="s">
        <v>6</v>
      </c>
      <c r="E185" s="26">
        <v>784</v>
      </c>
      <c r="F185" s="26" t="s">
        <v>43</v>
      </c>
      <c r="G185" s="26" t="s">
        <v>32</v>
      </c>
      <c r="H185" s="26" t="s">
        <v>570</v>
      </c>
      <c r="I185" s="26">
        <v>0</v>
      </c>
      <c r="J185" s="26" t="s">
        <v>33</v>
      </c>
      <c r="K185" s="29">
        <f t="shared" si="2"/>
        <v>3</v>
      </c>
    </row>
    <row r="186" spans="1:11" x14ac:dyDescent="0.25">
      <c r="A186" s="26" t="s">
        <v>451</v>
      </c>
      <c r="B186" s="26" t="s">
        <v>5</v>
      </c>
      <c r="C186" s="26" t="s">
        <v>16</v>
      </c>
      <c r="D186" s="26" t="s">
        <v>6</v>
      </c>
      <c r="E186" s="26" t="s">
        <v>452</v>
      </c>
      <c r="G186" s="26" t="s">
        <v>32</v>
      </c>
      <c r="H186" s="26" t="s">
        <v>570</v>
      </c>
      <c r="I186" s="26">
        <v>0</v>
      </c>
      <c r="J186" s="26" t="s">
        <v>33</v>
      </c>
      <c r="K186" s="29">
        <f t="shared" si="2"/>
        <v>4</v>
      </c>
    </row>
    <row r="187" spans="1:11" x14ac:dyDescent="0.25">
      <c r="A187" s="26" t="s">
        <v>453</v>
      </c>
      <c r="B187" s="26" t="s">
        <v>35</v>
      </c>
      <c r="C187" s="26" t="s">
        <v>36</v>
      </c>
      <c r="D187" s="26" t="s">
        <v>21</v>
      </c>
      <c r="E187" s="26" t="s">
        <v>454</v>
      </c>
      <c r="G187" s="26">
        <v>99999</v>
      </c>
      <c r="H187" s="27" t="s">
        <v>568</v>
      </c>
      <c r="I187" s="26">
        <v>5</v>
      </c>
      <c r="K187" s="29">
        <f t="shared" si="2"/>
        <v>4</v>
      </c>
    </row>
    <row r="188" spans="1:11" x14ac:dyDescent="0.25">
      <c r="A188" s="26" t="s">
        <v>455</v>
      </c>
      <c r="B188" s="26" t="s">
        <v>5</v>
      </c>
      <c r="C188" s="26" t="s">
        <v>16</v>
      </c>
      <c r="D188" s="26" t="s">
        <v>21</v>
      </c>
      <c r="E188" s="26" t="s">
        <v>456</v>
      </c>
      <c r="G188" s="26" t="s">
        <v>32</v>
      </c>
      <c r="H188" s="26" t="s">
        <v>570</v>
      </c>
      <c r="I188" s="26">
        <v>0</v>
      </c>
      <c r="J188" s="26" t="s">
        <v>33</v>
      </c>
      <c r="K188" s="29">
        <f t="shared" si="2"/>
        <v>4</v>
      </c>
    </row>
    <row r="189" spans="1:11" x14ac:dyDescent="0.25">
      <c r="A189" s="26" t="s">
        <v>457</v>
      </c>
      <c r="B189" s="26" t="s">
        <v>5</v>
      </c>
      <c r="C189" s="26" t="s">
        <v>16</v>
      </c>
      <c r="D189" s="26" t="s">
        <v>21</v>
      </c>
      <c r="E189" s="26" t="s">
        <v>458</v>
      </c>
      <c r="G189" s="26" t="s">
        <v>41</v>
      </c>
      <c r="H189" s="26" t="s">
        <v>581</v>
      </c>
      <c r="I189" s="26">
        <v>5</v>
      </c>
      <c r="J189" s="26" t="s">
        <v>287</v>
      </c>
      <c r="K189" s="29">
        <f t="shared" si="2"/>
        <v>4</v>
      </c>
    </row>
    <row r="190" spans="1:11" x14ac:dyDescent="0.25">
      <c r="A190" s="26" t="s">
        <v>459</v>
      </c>
      <c r="B190" s="26" t="s">
        <v>5</v>
      </c>
      <c r="C190" s="26" t="s">
        <v>16</v>
      </c>
      <c r="D190" s="26" t="s">
        <v>21</v>
      </c>
      <c r="E190" s="26" t="s">
        <v>460</v>
      </c>
      <c r="G190" s="26" t="s">
        <v>32</v>
      </c>
      <c r="H190" s="26" t="s">
        <v>570</v>
      </c>
      <c r="I190" s="26">
        <v>0</v>
      </c>
      <c r="J190" s="26" t="s">
        <v>33</v>
      </c>
      <c r="K190" s="29">
        <f t="shared" si="2"/>
        <v>4</v>
      </c>
    </row>
    <row r="191" spans="1:11" x14ac:dyDescent="0.25">
      <c r="A191" s="26" t="s">
        <v>461</v>
      </c>
      <c r="B191" s="26" t="s">
        <v>35</v>
      </c>
      <c r="C191" s="26" t="s">
        <v>36</v>
      </c>
      <c r="D191" s="26" t="s">
        <v>21</v>
      </c>
      <c r="E191" s="26" t="s">
        <v>462</v>
      </c>
      <c r="G191" s="26" t="s">
        <v>41</v>
      </c>
      <c r="H191" s="26" t="s">
        <v>581</v>
      </c>
      <c r="I191" s="26">
        <v>5</v>
      </c>
      <c r="K191" s="29">
        <f t="shared" si="2"/>
        <v>4</v>
      </c>
    </row>
    <row r="192" spans="1:11" x14ac:dyDescent="0.25">
      <c r="A192" s="26" t="s">
        <v>463</v>
      </c>
      <c r="B192" s="26" t="s">
        <v>5</v>
      </c>
      <c r="C192" s="26" t="s">
        <v>16</v>
      </c>
      <c r="D192" s="26" t="s">
        <v>21</v>
      </c>
      <c r="E192" s="26" t="s">
        <v>464</v>
      </c>
      <c r="G192" s="26" t="s">
        <v>32</v>
      </c>
      <c r="H192" s="26" t="s">
        <v>570</v>
      </c>
      <c r="I192" s="26">
        <v>0</v>
      </c>
      <c r="J192" s="26" t="s">
        <v>33</v>
      </c>
      <c r="K192" s="29">
        <f t="shared" si="2"/>
        <v>4</v>
      </c>
    </row>
    <row r="193" spans="1:11" x14ac:dyDescent="0.25">
      <c r="A193" s="26" t="s">
        <v>465</v>
      </c>
      <c r="B193" s="26" t="s">
        <v>5</v>
      </c>
      <c r="C193" s="26" t="s">
        <v>16</v>
      </c>
      <c r="D193" s="26" t="s">
        <v>21</v>
      </c>
      <c r="E193" s="26" t="s">
        <v>466</v>
      </c>
      <c r="G193" s="26" t="s">
        <v>32</v>
      </c>
      <c r="H193" s="26" t="s">
        <v>570</v>
      </c>
      <c r="I193" s="26">
        <v>0</v>
      </c>
      <c r="J193" s="26" t="s">
        <v>33</v>
      </c>
      <c r="K193" s="29">
        <f t="shared" si="2"/>
        <v>4</v>
      </c>
    </row>
    <row r="194" spans="1:11" x14ac:dyDescent="0.25">
      <c r="A194" s="26" t="s">
        <v>467</v>
      </c>
      <c r="B194" s="26" t="s">
        <v>468</v>
      </c>
      <c r="C194" s="26" t="s">
        <v>469</v>
      </c>
      <c r="D194" s="26" t="s">
        <v>21</v>
      </c>
      <c r="E194" s="26" t="s">
        <v>661</v>
      </c>
      <c r="G194" s="26" t="s">
        <v>85</v>
      </c>
      <c r="H194" s="26" t="s">
        <v>583</v>
      </c>
      <c r="I194" s="26">
        <v>6</v>
      </c>
      <c r="J194" s="26" t="s">
        <v>470</v>
      </c>
      <c r="K194" s="29">
        <f t="shared" ref="K194:K242" si="3">LEN(E194)</f>
        <v>3</v>
      </c>
    </row>
    <row r="195" spans="1:11" x14ac:dyDescent="0.25">
      <c r="A195" s="26" t="s">
        <v>471</v>
      </c>
      <c r="B195" s="26" t="s">
        <v>35</v>
      </c>
      <c r="C195" s="26" t="s">
        <v>36</v>
      </c>
      <c r="D195" s="26" t="s">
        <v>21</v>
      </c>
      <c r="E195" s="26" t="s">
        <v>100</v>
      </c>
      <c r="G195" s="26" t="s">
        <v>32</v>
      </c>
      <c r="H195" s="26" t="s">
        <v>570</v>
      </c>
      <c r="I195" s="26">
        <v>0</v>
      </c>
      <c r="J195" s="26" t="s">
        <v>33</v>
      </c>
      <c r="K195" s="29">
        <f t="shared" si="3"/>
        <v>4</v>
      </c>
    </row>
    <row r="196" spans="1:11" x14ac:dyDescent="0.25">
      <c r="A196" s="26" t="s">
        <v>472</v>
      </c>
      <c r="B196" s="26" t="s">
        <v>35</v>
      </c>
      <c r="C196" s="26" t="s">
        <v>36</v>
      </c>
      <c r="D196" s="26" t="s">
        <v>21</v>
      </c>
      <c r="E196" s="26" t="s">
        <v>473</v>
      </c>
      <c r="G196" s="26" t="s">
        <v>474</v>
      </c>
      <c r="H196" s="26" t="s">
        <v>600</v>
      </c>
      <c r="I196" s="26">
        <v>6</v>
      </c>
      <c r="K196" s="29">
        <f t="shared" si="3"/>
        <v>4</v>
      </c>
    </row>
    <row r="197" spans="1:11" x14ac:dyDescent="0.25">
      <c r="A197" s="26" t="s">
        <v>475</v>
      </c>
      <c r="B197" s="26" t="s">
        <v>35</v>
      </c>
      <c r="C197" s="26" t="s">
        <v>36</v>
      </c>
      <c r="D197" s="26" t="s">
        <v>21</v>
      </c>
      <c r="E197" s="26" t="s">
        <v>476</v>
      </c>
      <c r="G197" s="26" t="s">
        <v>38</v>
      </c>
      <c r="H197" s="26" t="s">
        <v>582</v>
      </c>
      <c r="I197" s="26">
        <v>4</v>
      </c>
      <c r="K197" s="29">
        <f t="shared" si="3"/>
        <v>4</v>
      </c>
    </row>
    <row r="198" spans="1:11" x14ac:dyDescent="0.25">
      <c r="A198" s="26" t="s">
        <v>477</v>
      </c>
      <c r="B198" s="26" t="s">
        <v>5</v>
      </c>
      <c r="C198" s="26" t="s">
        <v>16</v>
      </c>
      <c r="D198" s="26" t="s">
        <v>21</v>
      </c>
      <c r="E198" s="26" t="s">
        <v>478</v>
      </c>
      <c r="G198" s="26" t="s">
        <v>32</v>
      </c>
      <c r="H198" s="26" t="s">
        <v>570</v>
      </c>
      <c r="I198" s="26">
        <v>0</v>
      </c>
      <c r="J198" s="26" t="s">
        <v>33</v>
      </c>
      <c r="K198" s="29">
        <f t="shared" si="3"/>
        <v>4</v>
      </c>
    </row>
    <row r="199" spans="1:11" x14ac:dyDescent="0.25">
      <c r="A199" s="26" t="s">
        <v>479</v>
      </c>
      <c r="B199" s="26" t="s">
        <v>5</v>
      </c>
      <c r="C199" s="26" t="s">
        <v>16</v>
      </c>
      <c r="D199" s="26" t="s">
        <v>21</v>
      </c>
      <c r="E199" s="26" t="s">
        <v>480</v>
      </c>
      <c r="G199" s="26" t="s">
        <v>32</v>
      </c>
      <c r="H199" s="26" t="s">
        <v>570</v>
      </c>
      <c r="I199" s="26">
        <v>0</v>
      </c>
      <c r="J199" s="26" t="s">
        <v>33</v>
      </c>
      <c r="K199" s="29">
        <f t="shared" si="3"/>
        <v>4</v>
      </c>
    </row>
    <row r="200" spans="1:11" x14ac:dyDescent="0.25">
      <c r="A200" s="26" t="s">
        <v>481</v>
      </c>
      <c r="B200" s="26" t="s">
        <v>482</v>
      </c>
      <c r="C200" s="26" t="s">
        <v>483</v>
      </c>
      <c r="D200" s="26" t="s">
        <v>21</v>
      </c>
      <c r="E200" s="26" t="s">
        <v>626</v>
      </c>
      <c r="G200" s="26" t="s">
        <v>38</v>
      </c>
      <c r="H200" s="26" t="s">
        <v>582</v>
      </c>
      <c r="I200" s="26">
        <v>4</v>
      </c>
      <c r="K200" s="29">
        <f t="shared" si="3"/>
        <v>4</v>
      </c>
    </row>
    <row r="201" spans="1:11" x14ac:dyDescent="0.25">
      <c r="A201" s="26" t="s">
        <v>484</v>
      </c>
      <c r="B201" s="26" t="s">
        <v>5</v>
      </c>
      <c r="C201" s="26" t="s">
        <v>16</v>
      </c>
      <c r="D201" s="26" t="s">
        <v>21</v>
      </c>
      <c r="E201" s="26" t="s">
        <v>485</v>
      </c>
      <c r="G201" s="26" t="s">
        <v>32</v>
      </c>
      <c r="H201" s="26" t="s">
        <v>570</v>
      </c>
      <c r="I201" s="26">
        <v>0</v>
      </c>
      <c r="J201" s="26" t="s">
        <v>33</v>
      </c>
      <c r="K201" s="29">
        <f t="shared" si="3"/>
        <v>4</v>
      </c>
    </row>
    <row r="202" spans="1:11" x14ac:dyDescent="0.25">
      <c r="A202" s="26" t="s">
        <v>486</v>
      </c>
      <c r="B202" s="26" t="s">
        <v>35</v>
      </c>
      <c r="C202" s="26" t="s">
        <v>36</v>
      </c>
      <c r="D202" s="26" t="s">
        <v>21</v>
      </c>
      <c r="E202" s="26" t="s">
        <v>662</v>
      </c>
      <c r="G202" s="26">
        <v>99999</v>
      </c>
      <c r="H202" s="27" t="s">
        <v>568</v>
      </c>
      <c r="I202" s="26">
        <v>5</v>
      </c>
      <c r="K202" s="29">
        <f t="shared" si="3"/>
        <v>3</v>
      </c>
    </row>
    <row r="203" spans="1:11" x14ac:dyDescent="0.25">
      <c r="A203" s="26" t="s">
        <v>487</v>
      </c>
      <c r="B203" s="26" t="s">
        <v>5</v>
      </c>
      <c r="C203" s="26" t="s">
        <v>16</v>
      </c>
      <c r="D203" s="26" t="s">
        <v>21</v>
      </c>
      <c r="E203" s="26" t="s">
        <v>663</v>
      </c>
      <c r="G203" s="26" t="s">
        <v>41</v>
      </c>
      <c r="H203" s="26" t="s">
        <v>581</v>
      </c>
      <c r="I203" s="26">
        <v>5</v>
      </c>
      <c r="K203" s="29">
        <f t="shared" si="3"/>
        <v>3</v>
      </c>
    </row>
    <row r="204" spans="1:11" x14ac:dyDescent="0.25">
      <c r="A204" s="26" t="s">
        <v>488</v>
      </c>
      <c r="B204" s="26" t="s">
        <v>5</v>
      </c>
      <c r="C204" s="26" t="s">
        <v>16</v>
      </c>
      <c r="D204" s="26" t="s">
        <v>6</v>
      </c>
      <c r="E204" s="26" t="s">
        <v>489</v>
      </c>
      <c r="G204" s="26" t="s">
        <v>32</v>
      </c>
      <c r="H204" s="26" t="s">
        <v>570</v>
      </c>
      <c r="I204" s="26">
        <v>0</v>
      </c>
      <c r="J204" s="26" t="s">
        <v>33</v>
      </c>
      <c r="K204" s="29">
        <f t="shared" si="3"/>
        <v>4</v>
      </c>
    </row>
    <row r="205" spans="1:11" x14ac:dyDescent="0.25">
      <c r="A205" s="26" t="s">
        <v>490</v>
      </c>
      <c r="B205" s="26" t="s">
        <v>5</v>
      </c>
      <c r="C205" s="26" t="s">
        <v>16</v>
      </c>
      <c r="D205" s="26" t="s">
        <v>6</v>
      </c>
      <c r="E205" s="26" t="s">
        <v>491</v>
      </c>
      <c r="G205" s="26" t="s">
        <v>32</v>
      </c>
      <c r="H205" s="26" t="s">
        <v>570</v>
      </c>
      <c r="I205" s="26">
        <v>0</v>
      </c>
      <c r="J205" s="26" t="s">
        <v>33</v>
      </c>
      <c r="K205" s="29">
        <f t="shared" si="3"/>
        <v>4</v>
      </c>
    </row>
    <row r="206" spans="1:11" x14ac:dyDescent="0.25">
      <c r="A206" s="26" t="s">
        <v>492</v>
      </c>
      <c r="B206" s="26" t="s">
        <v>404</v>
      </c>
      <c r="C206" s="26" t="s">
        <v>405</v>
      </c>
      <c r="D206" s="26" t="s">
        <v>21</v>
      </c>
      <c r="E206" s="26" t="s">
        <v>493</v>
      </c>
      <c r="G206" s="26">
        <v>9999</v>
      </c>
      <c r="H206" s="27" t="s">
        <v>589</v>
      </c>
      <c r="I206" s="26">
        <v>4</v>
      </c>
      <c r="K206" s="29">
        <f t="shared" si="3"/>
        <v>7</v>
      </c>
    </row>
    <row r="207" spans="1:11" x14ac:dyDescent="0.25">
      <c r="A207" s="26" t="s">
        <v>494</v>
      </c>
      <c r="B207" s="26" t="s">
        <v>5</v>
      </c>
      <c r="C207" s="26" t="s">
        <v>16</v>
      </c>
      <c r="D207" s="26" t="s">
        <v>21</v>
      </c>
      <c r="E207" s="26" t="s">
        <v>495</v>
      </c>
      <c r="G207" s="26" t="s">
        <v>496</v>
      </c>
      <c r="H207" s="26" t="s">
        <v>586</v>
      </c>
      <c r="I207" s="26">
        <v>4</v>
      </c>
      <c r="J207" s="26" t="s">
        <v>497</v>
      </c>
      <c r="K207" s="29">
        <f t="shared" si="3"/>
        <v>4</v>
      </c>
    </row>
    <row r="208" spans="1:11" x14ac:dyDescent="0.25">
      <c r="A208" s="26" t="s">
        <v>18</v>
      </c>
      <c r="B208" s="26" t="s">
        <v>19</v>
      </c>
      <c r="C208" s="26" t="s">
        <v>20</v>
      </c>
      <c r="D208" s="26" t="s">
        <v>21</v>
      </c>
      <c r="E208" s="26" t="s">
        <v>664</v>
      </c>
      <c r="G208" s="26" t="s">
        <v>173</v>
      </c>
      <c r="H208" s="26" t="s">
        <v>599</v>
      </c>
      <c r="I208" s="26">
        <v>6</v>
      </c>
      <c r="K208" s="29">
        <f t="shared" si="3"/>
        <v>3</v>
      </c>
    </row>
    <row r="209" spans="1:11" x14ac:dyDescent="0.25">
      <c r="A209" s="26" t="s">
        <v>498</v>
      </c>
      <c r="B209" s="26" t="s">
        <v>35</v>
      </c>
      <c r="C209" s="26" t="s">
        <v>36</v>
      </c>
      <c r="D209" s="26" t="s">
        <v>21</v>
      </c>
      <c r="E209" s="26" t="s">
        <v>665</v>
      </c>
      <c r="G209" s="26">
        <v>9999</v>
      </c>
      <c r="H209" s="27" t="s">
        <v>589</v>
      </c>
      <c r="I209" s="26">
        <v>4</v>
      </c>
      <c r="K209" s="29">
        <f t="shared" si="3"/>
        <v>3</v>
      </c>
    </row>
    <row r="210" spans="1:11" x14ac:dyDescent="0.25">
      <c r="A210" s="26" t="s">
        <v>499</v>
      </c>
      <c r="E210" s="26" t="s">
        <v>500</v>
      </c>
      <c r="G210" s="26" t="s">
        <v>32</v>
      </c>
      <c r="H210" s="26" t="s">
        <v>570</v>
      </c>
      <c r="I210" s="26">
        <v>0</v>
      </c>
      <c r="J210" s="26" t="s">
        <v>501</v>
      </c>
      <c r="K210" s="29">
        <f t="shared" si="3"/>
        <v>4</v>
      </c>
    </row>
    <row r="211" spans="1:11" x14ac:dyDescent="0.25">
      <c r="A211" s="26" t="s">
        <v>502</v>
      </c>
      <c r="B211" s="26" t="s">
        <v>5</v>
      </c>
      <c r="C211" s="26" t="s">
        <v>16</v>
      </c>
      <c r="D211" s="26" t="s">
        <v>21</v>
      </c>
      <c r="E211" s="26" t="s">
        <v>503</v>
      </c>
      <c r="G211" s="26" t="s">
        <v>504</v>
      </c>
      <c r="H211" s="26" t="s">
        <v>618</v>
      </c>
      <c r="I211" s="26">
        <v>6</v>
      </c>
      <c r="J211" s="26" t="s">
        <v>505</v>
      </c>
      <c r="K211" s="29">
        <f t="shared" si="3"/>
        <v>4</v>
      </c>
    </row>
    <row r="212" spans="1:11" x14ac:dyDescent="0.25">
      <c r="A212" s="26" t="s">
        <v>506</v>
      </c>
      <c r="B212" s="26" t="s">
        <v>5</v>
      </c>
      <c r="C212" s="26" t="s">
        <v>16</v>
      </c>
      <c r="D212" s="26" t="s">
        <v>21</v>
      </c>
      <c r="E212" s="26" t="s">
        <v>507</v>
      </c>
      <c r="G212" s="26" t="s">
        <v>85</v>
      </c>
      <c r="H212" s="26" t="s">
        <v>583</v>
      </c>
      <c r="I212" s="26">
        <v>6</v>
      </c>
      <c r="K212" s="29">
        <f t="shared" si="3"/>
        <v>4</v>
      </c>
    </row>
    <row r="213" spans="1:11" x14ac:dyDescent="0.25">
      <c r="A213" s="26" t="s">
        <v>508</v>
      </c>
      <c r="B213" s="26" t="s">
        <v>5</v>
      </c>
      <c r="C213" s="26" t="s">
        <v>16</v>
      </c>
      <c r="D213" s="26" t="s">
        <v>21</v>
      </c>
      <c r="E213" s="26" t="s">
        <v>509</v>
      </c>
      <c r="G213" s="26" t="s">
        <v>32</v>
      </c>
      <c r="H213" s="26" t="s">
        <v>570</v>
      </c>
      <c r="I213" s="26">
        <v>0</v>
      </c>
      <c r="J213" s="26" t="s">
        <v>33</v>
      </c>
      <c r="K213" s="29">
        <f t="shared" si="3"/>
        <v>4</v>
      </c>
    </row>
    <row r="214" spans="1:11" x14ac:dyDescent="0.25">
      <c r="A214" s="26" t="s">
        <v>510</v>
      </c>
      <c r="B214" s="26" t="s">
        <v>511</v>
      </c>
      <c r="C214" s="26" t="s">
        <v>512</v>
      </c>
      <c r="D214" s="26" t="s">
        <v>21</v>
      </c>
      <c r="E214" s="26" t="s">
        <v>666</v>
      </c>
      <c r="G214" s="26" t="s">
        <v>41</v>
      </c>
      <c r="H214" s="26" t="s">
        <v>581</v>
      </c>
      <c r="I214" s="26">
        <v>5</v>
      </c>
      <c r="K214" s="29">
        <f t="shared" si="3"/>
        <v>3</v>
      </c>
    </row>
    <row r="215" spans="1:11" x14ac:dyDescent="0.25">
      <c r="A215" s="26" t="s">
        <v>513</v>
      </c>
      <c r="B215" s="26" t="s">
        <v>5</v>
      </c>
      <c r="C215" s="26" t="s">
        <v>16</v>
      </c>
      <c r="D215" s="26" t="s">
        <v>21</v>
      </c>
      <c r="E215" s="26" t="s">
        <v>514</v>
      </c>
      <c r="G215" s="26" t="s">
        <v>32</v>
      </c>
      <c r="H215" s="26" t="s">
        <v>570</v>
      </c>
      <c r="I215" s="26">
        <v>0</v>
      </c>
      <c r="J215" s="26" t="s">
        <v>33</v>
      </c>
      <c r="K215" s="29">
        <f t="shared" si="3"/>
        <v>4</v>
      </c>
    </row>
    <row r="216" spans="1:11" x14ac:dyDescent="0.25">
      <c r="A216" s="26" t="s">
        <v>515</v>
      </c>
      <c r="B216" s="26" t="s">
        <v>5</v>
      </c>
      <c r="C216" s="26" t="s">
        <v>16</v>
      </c>
      <c r="D216" s="26" t="s">
        <v>21</v>
      </c>
      <c r="E216" s="26" t="s">
        <v>516</v>
      </c>
      <c r="G216" s="26" t="s">
        <v>32</v>
      </c>
      <c r="H216" s="26" t="s">
        <v>570</v>
      </c>
      <c r="I216" s="26">
        <v>0</v>
      </c>
      <c r="J216" s="26" t="s">
        <v>33</v>
      </c>
      <c r="K216" s="29">
        <f t="shared" si="3"/>
        <v>4</v>
      </c>
    </row>
    <row r="217" spans="1:11" x14ac:dyDescent="0.25">
      <c r="A217" s="26" t="s">
        <v>517</v>
      </c>
      <c r="B217" s="26" t="s">
        <v>154</v>
      </c>
      <c r="C217" s="26" t="s">
        <v>155</v>
      </c>
      <c r="D217" s="26" t="s">
        <v>21</v>
      </c>
      <c r="E217" s="26" t="s">
        <v>518</v>
      </c>
      <c r="G217" s="26" t="s">
        <v>32</v>
      </c>
      <c r="H217" s="26" t="s">
        <v>570</v>
      </c>
      <c r="I217" s="26">
        <v>0</v>
      </c>
      <c r="J217" s="26" t="s">
        <v>33</v>
      </c>
      <c r="K217" s="29">
        <f t="shared" si="3"/>
        <v>4</v>
      </c>
    </row>
    <row r="218" spans="1:11" x14ac:dyDescent="0.25">
      <c r="A218" s="26" t="s">
        <v>519</v>
      </c>
      <c r="B218" s="26" t="s">
        <v>5</v>
      </c>
      <c r="C218" s="26" t="s">
        <v>16</v>
      </c>
      <c r="D218" s="26" t="s">
        <v>21</v>
      </c>
      <c r="E218" s="26" t="s">
        <v>520</v>
      </c>
      <c r="G218" s="26" t="s">
        <v>32</v>
      </c>
      <c r="H218" s="26" t="s">
        <v>570</v>
      </c>
      <c r="I218" s="26">
        <v>0</v>
      </c>
      <c r="J218" s="26" t="s">
        <v>33</v>
      </c>
      <c r="K218" s="29">
        <f t="shared" si="3"/>
        <v>4</v>
      </c>
    </row>
    <row r="219" spans="1:11" x14ac:dyDescent="0.25">
      <c r="A219" s="26" t="s">
        <v>521</v>
      </c>
      <c r="B219" s="26" t="s">
        <v>5</v>
      </c>
      <c r="C219" s="26" t="s">
        <v>16</v>
      </c>
      <c r="D219" s="26" t="s">
        <v>6</v>
      </c>
      <c r="E219" s="26">
        <v>868</v>
      </c>
      <c r="F219" s="26" t="s">
        <v>43</v>
      </c>
      <c r="G219" s="26" t="s">
        <v>32</v>
      </c>
      <c r="H219" s="26" t="s">
        <v>570</v>
      </c>
      <c r="I219" s="26">
        <v>0</v>
      </c>
      <c r="J219" s="26" t="s">
        <v>33</v>
      </c>
      <c r="K219" s="29">
        <f t="shared" si="3"/>
        <v>3</v>
      </c>
    </row>
    <row r="220" spans="1:11" x14ac:dyDescent="0.25">
      <c r="A220" s="26" t="s">
        <v>522</v>
      </c>
      <c r="B220" s="26" t="s">
        <v>5</v>
      </c>
      <c r="C220" s="26" t="s">
        <v>16</v>
      </c>
      <c r="D220" s="26" t="s">
        <v>21</v>
      </c>
      <c r="E220" s="26" t="s">
        <v>523</v>
      </c>
      <c r="G220" s="26" t="s">
        <v>38</v>
      </c>
      <c r="H220" s="26" t="s">
        <v>582</v>
      </c>
      <c r="I220" s="26">
        <v>4</v>
      </c>
      <c r="K220" s="29">
        <f t="shared" si="3"/>
        <v>4</v>
      </c>
    </row>
    <row r="221" spans="1:11" x14ac:dyDescent="0.25">
      <c r="A221" s="26" t="s">
        <v>524</v>
      </c>
      <c r="B221" s="26" t="s">
        <v>5</v>
      </c>
      <c r="C221" s="26" t="s">
        <v>16</v>
      </c>
      <c r="D221" s="26" t="s">
        <v>21</v>
      </c>
      <c r="E221" s="26" t="s">
        <v>667</v>
      </c>
      <c r="G221" s="26" t="s">
        <v>41</v>
      </c>
      <c r="H221" s="26" t="s">
        <v>581</v>
      </c>
      <c r="I221" s="26">
        <v>5</v>
      </c>
      <c r="J221" s="26" t="s">
        <v>525</v>
      </c>
      <c r="K221" s="29">
        <f t="shared" si="3"/>
        <v>3</v>
      </c>
    </row>
    <row r="222" spans="1:11" x14ac:dyDescent="0.25">
      <c r="A222" s="26" t="s">
        <v>526</v>
      </c>
      <c r="B222" s="26" t="s">
        <v>5</v>
      </c>
      <c r="C222" s="26" t="s">
        <v>16</v>
      </c>
      <c r="D222" s="26" t="s">
        <v>21</v>
      </c>
      <c r="E222" s="26" t="s">
        <v>527</v>
      </c>
      <c r="G222" s="26" t="s">
        <v>85</v>
      </c>
      <c r="H222" s="26" t="s">
        <v>583</v>
      </c>
      <c r="I222" s="26">
        <v>6</v>
      </c>
      <c r="K222" s="29">
        <f t="shared" si="3"/>
        <v>4</v>
      </c>
    </row>
    <row r="223" spans="1:11" x14ac:dyDescent="0.25">
      <c r="A223" s="26" t="s">
        <v>528</v>
      </c>
      <c r="B223" s="26" t="s">
        <v>5</v>
      </c>
      <c r="C223" s="26" t="s">
        <v>16</v>
      </c>
      <c r="D223" s="26" t="s">
        <v>6</v>
      </c>
      <c r="E223" s="26">
        <v>649</v>
      </c>
      <c r="F223" s="26" t="s">
        <v>43</v>
      </c>
      <c r="G223" s="26" t="s">
        <v>529</v>
      </c>
      <c r="H223" s="26" t="s">
        <v>577</v>
      </c>
      <c r="I223" s="26">
        <v>8</v>
      </c>
      <c r="J223" s="26" t="s">
        <v>45</v>
      </c>
      <c r="K223" s="29">
        <f t="shared" si="3"/>
        <v>3</v>
      </c>
    </row>
    <row r="224" spans="1:11" x14ac:dyDescent="0.25">
      <c r="A224" s="26" t="s">
        <v>530</v>
      </c>
      <c r="B224" s="26" t="s">
        <v>5</v>
      </c>
      <c r="C224" s="26" t="s">
        <v>16</v>
      </c>
      <c r="D224" s="26" t="s">
        <v>21</v>
      </c>
      <c r="E224" s="26" t="s">
        <v>531</v>
      </c>
      <c r="G224" s="26" t="s">
        <v>32</v>
      </c>
      <c r="H224" s="26" t="s">
        <v>570</v>
      </c>
      <c r="I224" s="26">
        <v>0</v>
      </c>
      <c r="J224" s="26" t="s">
        <v>33</v>
      </c>
      <c r="K224" s="29">
        <f t="shared" si="3"/>
        <v>4</v>
      </c>
    </row>
    <row r="225" spans="1:11" x14ac:dyDescent="0.25">
      <c r="A225" s="26" t="s">
        <v>532</v>
      </c>
      <c r="B225" s="26" t="s">
        <v>5</v>
      </c>
      <c r="C225" s="26" t="s">
        <v>16</v>
      </c>
      <c r="D225" s="26" t="s">
        <v>21</v>
      </c>
      <c r="E225" s="26" t="s">
        <v>533</v>
      </c>
      <c r="G225" s="26" t="s">
        <v>32</v>
      </c>
      <c r="H225" s="26" t="s">
        <v>570</v>
      </c>
      <c r="I225" s="26">
        <v>0</v>
      </c>
      <c r="J225" s="26" t="s">
        <v>33</v>
      </c>
      <c r="K225" s="29">
        <f t="shared" si="3"/>
        <v>4</v>
      </c>
    </row>
    <row r="226" spans="1:11" x14ac:dyDescent="0.25">
      <c r="A226" s="26" t="s">
        <v>534</v>
      </c>
      <c r="B226" s="26" t="s">
        <v>5</v>
      </c>
      <c r="C226" s="26" t="s">
        <v>16</v>
      </c>
      <c r="D226" s="26" t="s">
        <v>21</v>
      </c>
      <c r="E226" s="26" t="s">
        <v>535</v>
      </c>
      <c r="G226" s="26" t="s">
        <v>41</v>
      </c>
      <c r="H226" s="26" t="s">
        <v>581</v>
      </c>
      <c r="I226" s="26">
        <v>5</v>
      </c>
      <c r="K226" s="29">
        <f t="shared" si="3"/>
        <v>4</v>
      </c>
    </row>
    <row r="227" spans="1:11" x14ac:dyDescent="0.25">
      <c r="A227" s="26" t="s">
        <v>536</v>
      </c>
      <c r="B227" s="26" t="s">
        <v>5</v>
      </c>
      <c r="C227" s="26" t="s">
        <v>16</v>
      </c>
      <c r="D227" s="26" t="s">
        <v>21</v>
      </c>
      <c r="E227" s="26" t="s">
        <v>537</v>
      </c>
      <c r="G227" s="26" t="s">
        <v>32</v>
      </c>
      <c r="H227" s="26" t="s">
        <v>570</v>
      </c>
      <c r="I227" s="26">
        <v>0</v>
      </c>
      <c r="J227" s="26" t="s">
        <v>33</v>
      </c>
      <c r="K227" s="29">
        <f t="shared" si="3"/>
        <v>4</v>
      </c>
    </row>
    <row r="228" spans="1:11" x14ac:dyDescent="0.25">
      <c r="A228" s="26" t="s">
        <v>538</v>
      </c>
      <c r="B228" s="26" t="s">
        <v>53</v>
      </c>
      <c r="C228" s="26" t="s">
        <v>54</v>
      </c>
      <c r="D228" s="26" t="s">
        <v>21</v>
      </c>
      <c r="E228" s="26" t="s">
        <v>668</v>
      </c>
      <c r="G228" s="26" t="s">
        <v>539</v>
      </c>
      <c r="H228" s="26" t="s">
        <v>601</v>
      </c>
      <c r="I228" s="26" t="s">
        <v>540</v>
      </c>
      <c r="J228" s="26" t="s">
        <v>541</v>
      </c>
      <c r="K228" s="29">
        <f t="shared" si="3"/>
        <v>3</v>
      </c>
    </row>
    <row r="229" spans="1:11" x14ac:dyDescent="0.25">
      <c r="A229" s="26" t="s">
        <v>2</v>
      </c>
      <c r="B229" s="26" t="s">
        <v>5</v>
      </c>
      <c r="C229" s="26" t="s">
        <v>17</v>
      </c>
      <c r="D229" s="26" t="s">
        <v>6</v>
      </c>
      <c r="E229" s="26" t="s">
        <v>128</v>
      </c>
      <c r="F229" s="26" t="s">
        <v>43</v>
      </c>
      <c r="G229" s="26">
        <v>99999</v>
      </c>
      <c r="H229" s="27" t="s">
        <v>568</v>
      </c>
      <c r="I229" s="26">
        <v>5</v>
      </c>
      <c r="K229" s="29">
        <f t="shared" si="3"/>
        <v>2</v>
      </c>
    </row>
    <row r="230" spans="1:11" x14ac:dyDescent="0.25">
      <c r="A230" s="26" t="s">
        <v>542</v>
      </c>
      <c r="B230" s="26" t="s">
        <v>5</v>
      </c>
      <c r="C230" s="26" t="s">
        <v>16</v>
      </c>
      <c r="D230" s="26" t="s">
        <v>6</v>
      </c>
      <c r="E230" s="26" t="s">
        <v>543</v>
      </c>
      <c r="G230" s="26" t="s">
        <v>41</v>
      </c>
      <c r="H230" s="26" t="s">
        <v>581</v>
      </c>
      <c r="I230" s="26">
        <v>5</v>
      </c>
      <c r="K230" s="29">
        <f t="shared" si="3"/>
        <v>4</v>
      </c>
    </row>
    <row r="231" spans="1:11" x14ac:dyDescent="0.25">
      <c r="A231" s="26" t="s">
        <v>544</v>
      </c>
      <c r="B231" s="26" t="s">
        <v>5</v>
      </c>
      <c r="C231" s="26" t="s">
        <v>17</v>
      </c>
      <c r="D231" s="26" t="s">
        <v>6</v>
      </c>
      <c r="E231" s="26" t="s">
        <v>545</v>
      </c>
      <c r="G231" s="26">
        <v>99999</v>
      </c>
      <c r="H231" s="27" t="s">
        <v>568</v>
      </c>
      <c r="I231" s="26">
        <v>5</v>
      </c>
      <c r="K231" s="29">
        <f t="shared" si="3"/>
        <v>4</v>
      </c>
    </row>
    <row r="232" spans="1:11" x14ac:dyDescent="0.25">
      <c r="A232" s="26" t="s">
        <v>546</v>
      </c>
      <c r="B232" s="26" t="s">
        <v>5</v>
      </c>
      <c r="C232" s="26" t="s">
        <v>16</v>
      </c>
      <c r="D232" s="26" t="s">
        <v>21</v>
      </c>
      <c r="E232" s="26" t="s">
        <v>547</v>
      </c>
      <c r="G232" s="26" t="s">
        <v>85</v>
      </c>
      <c r="H232" s="26" t="s">
        <v>583</v>
      </c>
      <c r="I232" s="26">
        <v>6</v>
      </c>
      <c r="K232" s="29">
        <f t="shared" si="3"/>
        <v>4</v>
      </c>
    </row>
    <row r="233" spans="1:11" x14ac:dyDescent="0.25">
      <c r="A233" s="26" t="s">
        <v>548</v>
      </c>
      <c r="B233" s="26" t="s">
        <v>5</v>
      </c>
      <c r="C233" s="26" t="s">
        <v>16</v>
      </c>
      <c r="D233" s="26" t="s">
        <v>21</v>
      </c>
      <c r="E233" s="26" t="s">
        <v>549</v>
      </c>
      <c r="G233" s="26" t="s">
        <v>32</v>
      </c>
      <c r="H233" s="26" t="s">
        <v>570</v>
      </c>
      <c r="I233" s="26">
        <v>0</v>
      </c>
      <c r="J233" s="26" t="s">
        <v>33</v>
      </c>
      <c r="K233" s="29">
        <f t="shared" si="3"/>
        <v>4</v>
      </c>
    </row>
    <row r="234" spans="1:11" x14ac:dyDescent="0.25">
      <c r="A234" s="26" t="s">
        <v>550</v>
      </c>
      <c r="B234" s="26" t="s">
        <v>5</v>
      </c>
      <c r="C234" s="26" t="s">
        <v>16</v>
      </c>
      <c r="D234" s="26" t="s">
        <v>6</v>
      </c>
      <c r="E234" s="26" t="s">
        <v>669</v>
      </c>
      <c r="G234" s="26" t="s">
        <v>38</v>
      </c>
      <c r="H234" s="26" t="s">
        <v>582</v>
      </c>
      <c r="I234" s="26">
        <v>4</v>
      </c>
      <c r="K234" s="29">
        <f t="shared" si="3"/>
        <v>3</v>
      </c>
    </row>
    <row r="235" spans="1:11" x14ac:dyDescent="0.25">
      <c r="A235" s="26" t="s">
        <v>551</v>
      </c>
      <c r="B235" s="26" t="s">
        <v>5</v>
      </c>
      <c r="C235" s="26" t="s">
        <v>16</v>
      </c>
      <c r="D235" s="26" t="s">
        <v>21</v>
      </c>
      <c r="E235" s="26" t="s">
        <v>670</v>
      </c>
      <c r="G235" s="26" t="s">
        <v>85</v>
      </c>
      <c r="H235" s="26" t="s">
        <v>583</v>
      </c>
      <c r="I235" s="26">
        <v>6</v>
      </c>
      <c r="K235" s="29">
        <f t="shared" si="3"/>
        <v>3</v>
      </c>
    </row>
    <row r="236" spans="1:11" x14ac:dyDescent="0.25">
      <c r="A236" s="26" t="s">
        <v>552</v>
      </c>
      <c r="B236" s="26" t="s">
        <v>5</v>
      </c>
      <c r="C236" s="26" t="s">
        <v>16</v>
      </c>
      <c r="D236" s="26" t="s">
        <v>6</v>
      </c>
      <c r="E236" s="26">
        <v>284</v>
      </c>
      <c r="F236" s="26" t="s">
        <v>43</v>
      </c>
      <c r="G236" s="26" t="s">
        <v>553</v>
      </c>
      <c r="H236" s="26" t="s">
        <v>573</v>
      </c>
      <c r="I236" s="26">
        <v>6</v>
      </c>
      <c r="J236" s="26" t="s">
        <v>554</v>
      </c>
      <c r="K236" s="29">
        <f t="shared" si="3"/>
        <v>3</v>
      </c>
    </row>
    <row r="237" spans="1:11" x14ac:dyDescent="0.25">
      <c r="A237" s="26" t="s">
        <v>555</v>
      </c>
      <c r="B237" s="26" t="s">
        <v>5</v>
      </c>
      <c r="C237" s="26" t="s">
        <v>17</v>
      </c>
      <c r="D237" s="26" t="s">
        <v>6</v>
      </c>
      <c r="E237" s="26" t="s">
        <v>708</v>
      </c>
      <c r="F237" s="26" t="s">
        <v>43</v>
      </c>
      <c r="G237" s="26" t="s">
        <v>556</v>
      </c>
      <c r="H237" s="26" t="s">
        <v>574</v>
      </c>
      <c r="I237" s="26">
        <v>5</v>
      </c>
      <c r="J237" s="26" t="s">
        <v>557</v>
      </c>
      <c r="K237" s="29">
        <f t="shared" si="3"/>
        <v>3</v>
      </c>
    </row>
    <row r="238" spans="1:11" x14ac:dyDescent="0.25">
      <c r="A238" s="26" t="s">
        <v>558</v>
      </c>
      <c r="B238" s="26" t="s">
        <v>35</v>
      </c>
      <c r="C238" s="26" t="s">
        <v>36</v>
      </c>
      <c r="D238" s="26" t="s">
        <v>21</v>
      </c>
      <c r="E238" s="26" t="s">
        <v>559</v>
      </c>
      <c r="G238" s="26">
        <v>99999</v>
      </c>
      <c r="H238" s="27" t="s">
        <v>568</v>
      </c>
      <c r="I238" s="26">
        <v>5</v>
      </c>
      <c r="K238" s="29">
        <f t="shared" si="3"/>
        <v>4</v>
      </c>
    </row>
    <row r="239" spans="1:11" x14ac:dyDescent="0.25">
      <c r="A239" s="26" t="s">
        <v>560</v>
      </c>
      <c r="B239" s="26" t="s">
        <v>5</v>
      </c>
      <c r="C239" s="26" t="s">
        <v>16</v>
      </c>
      <c r="D239" s="26" t="s">
        <v>21</v>
      </c>
      <c r="E239" s="26" t="s">
        <v>376</v>
      </c>
      <c r="G239" s="26" t="s">
        <v>41</v>
      </c>
      <c r="H239" s="26" t="s">
        <v>581</v>
      </c>
      <c r="I239" s="26">
        <v>5</v>
      </c>
      <c r="K239" s="29">
        <f t="shared" si="3"/>
        <v>4</v>
      </c>
    </row>
    <row r="240" spans="1:11" x14ac:dyDescent="0.25">
      <c r="A240" s="26" t="s">
        <v>561</v>
      </c>
      <c r="B240" s="26" t="s">
        <v>5</v>
      </c>
      <c r="C240" s="26" t="s">
        <v>16</v>
      </c>
      <c r="D240" s="26" t="s">
        <v>21</v>
      </c>
      <c r="E240" s="26" t="s">
        <v>562</v>
      </c>
      <c r="G240" s="26" t="s">
        <v>32</v>
      </c>
      <c r="H240" s="26" t="s">
        <v>570</v>
      </c>
      <c r="I240" s="26">
        <v>0</v>
      </c>
      <c r="J240" s="26" t="s">
        <v>33</v>
      </c>
      <c r="K240" s="29">
        <f t="shared" si="3"/>
        <v>4</v>
      </c>
    </row>
    <row r="241" spans="1:11" x14ac:dyDescent="0.25">
      <c r="A241" s="26" t="s">
        <v>563</v>
      </c>
      <c r="B241" s="26" t="s">
        <v>5</v>
      </c>
      <c r="C241" s="26" t="s">
        <v>16</v>
      </c>
      <c r="D241" s="26" t="s">
        <v>21</v>
      </c>
      <c r="E241" s="26" t="s">
        <v>564</v>
      </c>
      <c r="G241" s="26" t="s">
        <v>41</v>
      </c>
      <c r="H241" s="26" t="s">
        <v>581</v>
      </c>
      <c r="I241" s="26">
        <v>5</v>
      </c>
      <c r="K241" s="29">
        <f t="shared" si="3"/>
        <v>4</v>
      </c>
    </row>
    <row r="242" spans="1:11" x14ac:dyDescent="0.25">
      <c r="A242" s="26" t="s">
        <v>565</v>
      </c>
      <c r="B242" s="26" t="s">
        <v>5</v>
      </c>
      <c r="C242" s="26" t="s">
        <v>16</v>
      </c>
      <c r="D242" s="26" t="s">
        <v>21</v>
      </c>
      <c r="E242" s="26" t="s">
        <v>566</v>
      </c>
      <c r="G242" s="26" t="s">
        <v>32</v>
      </c>
      <c r="H242" s="26" t="s">
        <v>570</v>
      </c>
      <c r="I242" s="26">
        <v>0</v>
      </c>
      <c r="J242" s="26" t="s">
        <v>33</v>
      </c>
      <c r="K242" s="29">
        <f t="shared" si="3"/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J2"/>
  <sheetViews>
    <sheetView workbookViewId="0"/>
  </sheetViews>
  <sheetFormatPr defaultRowHeight="15" x14ac:dyDescent="0.25"/>
  <cols>
    <col min="1" max="1" width="13.5703125" style="16" bestFit="1" customWidth="1"/>
    <col min="2" max="2" width="9.28515625" style="16" bestFit="1" customWidth="1"/>
    <col min="3" max="3" width="24.42578125" style="16" bestFit="1" customWidth="1"/>
    <col min="4" max="4" width="33.28515625" style="16" bestFit="1" customWidth="1"/>
    <col min="5" max="5" width="16.5703125" style="16" bestFit="1" customWidth="1"/>
    <col min="6" max="6" width="20.42578125" style="16" bestFit="1" customWidth="1"/>
    <col min="7" max="7" width="22.28515625" style="16" bestFit="1" customWidth="1"/>
    <col min="8" max="8" width="16.28515625" style="16" bestFit="1" customWidth="1"/>
    <col min="9" max="9" width="19.5703125" style="18" bestFit="1" customWidth="1"/>
    <col min="10" max="10" width="21.42578125" style="16" bestFit="1" customWidth="1"/>
    <col min="11" max="11" width="14.140625" style="16" bestFit="1" customWidth="1"/>
    <col min="12" max="12" width="12.85546875" style="16" bestFit="1" customWidth="1"/>
    <col min="13" max="13" width="21.140625" style="16" bestFit="1" customWidth="1"/>
    <col min="14" max="14" width="24.7109375" style="16" bestFit="1" customWidth="1"/>
    <col min="15" max="15" width="22" style="16" bestFit="1" customWidth="1"/>
    <col min="16" max="16" width="21.7109375" style="16" bestFit="1" customWidth="1"/>
    <col min="17" max="17" width="32" style="16" bestFit="1" customWidth="1"/>
    <col min="18" max="18" width="21.7109375" style="16" bestFit="1" customWidth="1"/>
    <col min="19" max="19" width="16.28515625" style="16" bestFit="1" customWidth="1"/>
    <col min="20" max="20" width="15" style="16" bestFit="1" customWidth="1"/>
    <col min="21" max="21" width="13.28515625" style="16" bestFit="1" customWidth="1"/>
    <col min="22" max="22" width="19.28515625" style="16" bestFit="1" customWidth="1"/>
    <col min="23" max="23" width="15.7109375" style="16" bestFit="1" customWidth="1"/>
    <col min="24" max="24" width="8.140625" style="16" bestFit="1" customWidth="1"/>
    <col min="25" max="25" width="23.42578125" style="16" bestFit="1" customWidth="1"/>
    <col min="26" max="26" width="8.85546875" style="16" bestFit="1" customWidth="1"/>
    <col min="27" max="27" width="9.85546875" style="30" bestFit="1" customWidth="1"/>
    <col min="28" max="28" width="29.42578125" style="16" bestFit="1" customWidth="1"/>
    <col min="29" max="29" width="7.5703125" style="16" bestFit="1" customWidth="1"/>
    <col min="30" max="30" width="11.140625" style="16" bestFit="1" customWidth="1"/>
    <col min="31" max="31" width="28" style="16" bestFit="1" customWidth="1"/>
    <col min="32" max="32" width="13.140625" style="16" bestFit="1" customWidth="1"/>
    <col min="33" max="33" width="9.28515625" style="16" bestFit="1" customWidth="1"/>
    <col min="34" max="34" width="12.85546875" style="16" bestFit="1" customWidth="1"/>
    <col min="35" max="35" width="18.42578125" style="16" bestFit="1" customWidth="1"/>
    <col min="36" max="36" width="14.140625" style="16" bestFit="1" customWidth="1"/>
    <col min="37" max="16384" width="9.140625" style="16"/>
  </cols>
  <sheetData>
    <row r="1" spans="1:36" x14ac:dyDescent="0.25">
      <c r="A1" s="16" t="s">
        <v>671</v>
      </c>
      <c r="B1" s="16" t="s">
        <v>672</v>
      </c>
      <c r="C1" s="16" t="s">
        <v>673</v>
      </c>
      <c r="D1" s="16" t="s">
        <v>674</v>
      </c>
      <c r="E1" s="16" t="s">
        <v>675</v>
      </c>
      <c r="F1" s="16" t="s">
        <v>676</v>
      </c>
      <c r="G1" s="16" t="s">
        <v>677</v>
      </c>
      <c r="H1" s="16" t="s">
        <v>678</v>
      </c>
      <c r="I1" s="18" t="s">
        <v>679</v>
      </c>
      <c r="J1" s="16" t="s">
        <v>680</v>
      </c>
      <c r="K1" s="16" t="s">
        <v>681</v>
      </c>
      <c r="L1" s="16" t="s">
        <v>4</v>
      </c>
      <c r="M1" s="16" t="s">
        <v>682</v>
      </c>
      <c r="N1" s="16" t="s">
        <v>683</v>
      </c>
      <c r="O1" s="16" t="s">
        <v>684</v>
      </c>
      <c r="P1" s="16" t="s">
        <v>685</v>
      </c>
      <c r="Q1" s="16" t="s">
        <v>686</v>
      </c>
      <c r="R1" s="16" t="s">
        <v>687</v>
      </c>
      <c r="S1" s="16" t="s">
        <v>688</v>
      </c>
      <c r="T1" s="16" t="s">
        <v>689</v>
      </c>
      <c r="U1" s="16" t="s">
        <v>690</v>
      </c>
      <c r="V1" s="16" t="s">
        <v>691</v>
      </c>
      <c r="W1" s="16" t="s">
        <v>692</v>
      </c>
      <c r="X1" s="16" t="s">
        <v>693</v>
      </c>
      <c r="Y1" s="16" t="s">
        <v>694</v>
      </c>
      <c r="Z1" s="16" t="s">
        <v>3</v>
      </c>
      <c r="AA1" s="30" t="s">
        <v>0</v>
      </c>
      <c r="AB1" s="16" t="s">
        <v>1</v>
      </c>
      <c r="AC1" s="16" t="s">
        <v>8</v>
      </c>
      <c r="AD1" s="16" t="s">
        <v>7</v>
      </c>
      <c r="AE1" s="16" t="s">
        <v>9</v>
      </c>
      <c r="AF1" s="16" t="s">
        <v>10</v>
      </c>
      <c r="AG1" s="16" t="s">
        <v>11</v>
      </c>
      <c r="AH1" s="16" t="s">
        <v>695</v>
      </c>
      <c r="AI1" s="16" t="s">
        <v>696</v>
      </c>
      <c r="AJ1" s="16" t="s">
        <v>697</v>
      </c>
    </row>
    <row r="2" spans="1:36" x14ac:dyDescent="0.25">
      <c r="A2" s="16" t="s">
        <v>699</v>
      </c>
      <c r="B2" s="16" t="s">
        <v>706</v>
      </c>
      <c r="G2" s="16" t="s">
        <v>698</v>
      </c>
      <c r="H2" s="16" t="s">
        <v>700</v>
      </c>
      <c r="I2" s="18" t="s">
        <v>721</v>
      </c>
      <c r="J2" s="16">
        <v>843</v>
      </c>
      <c r="L2" s="16" t="s">
        <v>707</v>
      </c>
      <c r="Q2" s="16" t="s">
        <v>703</v>
      </c>
      <c r="R2" s="16" t="s">
        <v>704</v>
      </c>
      <c r="S2" s="16" t="s">
        <v>700</v>
      </c>
      <c r="T2" s="16" t="s">
        <v>701</v>
      </c>
      <c r="U2" s="16" t="s">
        <v>702</v>
      </c>
      <c r="V2" s="16">
        <v>3163</v>
      </c>
      <c r="W2" s="16" t="s">
        <v>2</v>
      </c>
      <c r="Z2" s="16" t="s">
        <v>13</v>
      </c>
      <c r="AA2" s="30" t="s">
        <v>715</v>
      </c>
      <c r="AB2" s="16" t="s">
        <v>705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Accounts</vt:lpstr>
      <vt:lpstr>User Orgs &amp; Country Codes</vt:lpstr>
      <vt:lpstr>Rectifier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Kislay</dc:creator>
  <cp:lastModifiedBy>Kislay</cp:lastModifiedBy>
  <cp:lastPrinted>2016-09-11T12:51:18Z</cp:lastPrinted>
  <dcterms:created xsi:type="dcterms:W3CDTF">2015-01-16T14:33:22Z</dcterms:created>
  <dcterms:modified xsi:type="dcterms:W3CDTF">2022-03-20T05:03:21Z</dcterms:modified>
</cp:coreProperties>
</file>